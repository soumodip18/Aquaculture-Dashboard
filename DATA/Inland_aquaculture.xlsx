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c12819385e84a54/Desktop/"/>
    </mc:Choice>
  </mc:AlternateContent>
  <xr:revisionPtr revIDLastSave="4" documentId="8_{BA92C950-8EEB-41A5-B237-13C3ECAC1353}" xr6:coauthVersionLast="47" xr6:coauthVersionMax="47" xr10:uidLastSave="{22B94BB3-0074-46A0-B43A-F4C893234F70}"/>
  <bookViews>
    <workbookView xWindow="-110" yWindow="-110" windowWidth="25820" windowHeight="14620" xr2:uid="{00000000-000D-0000-FFFF-FFFF00000000}"/>
  </bookViews>
  <sheets>
    <sheet name="Table of Contents" sheetId="1" r:id="rId1"/>
    <sheet name="Inland Production" sheetId="2" r:id="rId2"/>
    <sheet name="Inland Water Resources" sheetId="3" r:id="rId3"/>
    <sheet name="Aquaculture Infrastructure" sheetId="4" r:id="rId4"/>
    <sheet name="Fish Seed Production" sheetId="5" r:id="rId5"/>
    <sheet name="Species-wise Production" sheetId="6" r:id="rId6"/>
    <sheet name="Economics" sheetId="7" r:id="rId7"/>
    <sheet name="Government Scheme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1" i="9" l="1"/>
  <c r="E41" i="9"/>
  <c r="D41" i="9"/>
  <c r="C41" i="9"/>
  <c r="B41" i="9"/>
  <c r="F41" i="7"/>
  <c r="E41" i="7"/>
  <c r="C40" i="7"/>
  <c r="D40" i="7" s="1"/>
  <c r="G40" i="2" s="1"/>
  <c r="D39" i="7"/>
  <c r="G39" i="2" s="1"/>
  <c r="C39" i="7"/>
  <c r="C38" i="7"/>
  <c r="D38" i="7" s="1"/>
  <c r="G38" i="2" s="1"/>
  <c r="D37" i="7"/>
  <c r="G37" i="2" s="1"/>
  <c r="C37" i="7"/>
  <c r="C36" i="7"/>
  <c r="D36" i="7" s="1"/>
  <c r="G36" i="2" s="1"/>
  <c r="D35" i="7"/>
  <c r="C35" i="7"/>
  <c r="C34" i="7"/>
  <c r="D34" i="7" s="1"/>
  <c r="G34" i="2" s="1"/>
  <c r="C33" i="7"/>
  <c r="D33" i="7" s="1"/>
  <c r="G33" i="2" s="1"/>
  <c r="C32" i="7"/>
  <c r="D32" i="7" s="1"/>
  <c r="G32" i="2" s="1"/>
  <c r="C31" i="7"/>
  <c r="D31" i="7" s="1"/>
  <c r="G31" i="2" s="1"/>
  <c r="C30" i="7"/>
  <c r="D30" i="7" s="1"/>
  <c r="G30" i="2" s="1"/>
  <c r="D29" i="7"/>
  <c r="C29" i="7"/>
  <c r="C28" i="7"/>
  <c r="D28" i="7" s="1"/>
  <c r="G28" i="2" s="1"/>
  <c r="D27" i="7"/>
  <c r="C27" i="7"/>
  <c r="C26" i="7"/>
  <c r="D26" i="7" s="1"/>
  <c r="G26" i="2" s="1"/>
  <c r="C25" i="7"/>
  <c r="D25" i="7" s="1"/>
  <c r="G25" i="2" s="1"/>
  <c r="C24" i="7"/>
  <c r="D24" i="7" s="1"/>
  <c r="G24" i="2" s="1"/>
  <c r="C23" i="7"/>
  <c r="D23" i="7" s="1"/>
  <c r="G23" i="2" s="1"/>
  <c r="C22" i="7"/>
  <c r="D22" i="7" s="1"/>
  <c r="G22" i="2" s="1"/>
  <c r="D21" i="7"/>
  <c r="G21" i="2" s="1"/>
  <c r="C21" i="7"/>
  <c r="C20" i="7"/>
  <c r="D20" i="7" s="1"/>
  <c r="G20" i="2" s="1"/>
  <c r="D19" i="7"/>
  <c r="C19" i="7"/>
  <c r="C18" i="7"/>
  <c r="D18" i="7" s="1"/>
  <c r="G18" i="2" s="1"/>
  <c r="C17" i="7"/>
  <c r="D17" i="7" s="1"/>
  <c r="G17" i="2" s="1"/>
  <c r="C16" i="7"/>
  <c r="D16" i="7" s="1"/>
  <c r="G16" i="2" s="1"/>
  <c r="C15" i="7"/>
  <c r="D15" i="7" s="1"/>
  <c r="G15" i="2" s="1"/>
  <c r="C14" i="7"/>
  <c r="D14" i="7" s="1"/>
  <c r="G14" i="2" s="1"/>
  <c r="D13" i="7"/>
  <c r="C13" i="7"/>
  <c r="C12" i="7"/>
  <c r="D12" i="7" s="1"/>
  <c r="G12" i="2" s="1"/>
  <c r="D11" i="7"/>
  <c r="C11" i="7"/>
  <c r="C10" i="7"/>
  <c r="D10" i="7" s="1"/>
  <c r="G10" i="2" s="1"/>
  <c r="C9" i="7"/>
  <c r="D9" i="7" s="1"/>
  <c r="G9" i="2" s="1"/>
  <c r="C8" i="7"/>
  <c r="D8" i="7" s="1"/>
  <c r="G8" i="2" s="1"/>
  <c r="C7" i="7"/>
  <c r="D7" i="7" s="1"/>
  <c r="G7" i="2" s="1"/>
  <c r="C6" i="7"/>
  <c r="C41" i="7" s="1"/>
  <c r="D5" i="7"/>
  <c r="G5" i="2" s="1"/>
  <c r="C5" i="7"/>
  <c r="I41" i="6"/>
  <c r="H41" i="6"/>
  <c r="G41" i="6"/>
  <c r="F41" i="6"/>
  <c r="E41" i="6"/>
  <c r="D41" i="6"/>
  <c r="C41" i="6"/>
  <c r="J40" i="6"/>
  <c r="K40" i="6" s="1"/>
  <c r="J39" i="6"/>
  <c r="K39" i="6" s="1"/>
  <c r="K38" i="6"/>
  <c r="J38" i="6"/>
  <c r="J37" i="6"/>
  <c r="K37" i="6" s="1"/>
  <c r="J36" i="6"/>
  <c r="K36" i="6" s="1"/>
  <c r="K35" i="6"/>
  <c r="J35" i="6"/>
  <c r="K34" i="6"/>
  <c r="J34" i="6"/>
  <c r="K33" i="6"/>
  <c r="J33" i="6"/>
  <c r="J32" i="6"/>
  <c r="K32" i="6" s="1"/>
  <c r="J31" i="6"/>
  <c r="K31" i="6" s="1"/>
  <c r="K30" i="6"/>
  <c r="J30" i="6"/>
  <c r="J29" i="6"/>
  <c r="K29" i="6" s="1"/>
  <c r="J28" i="6"/>
  <c r="K28" i="6" s="1"/>
  <c r="K27" i="6"/>
  <c r="J27" i="6"/>
  <c r="K26" i="6"/>
  <c r="J26" i="6"/>
  <c r="K25" i="6"/>
  <c r="J25" i="6"/>
  <c r="J24" i="6"/>
  <c r="K24" i="6" s="1"/>
  <c r="J23" i="6"/>
  <c r="K23" i="6" s="1"/>
  <c r="K22" i="6"/>
  <c r="J22" i="6"/>
  <c r="J21" i="6"/>
  <c r="K21" i="6" s="1"/>
  <c r="J20" i="6"/>
  <c r="K20" i="6" s="1"/>
  <c r="K19" i="6"/>
  <c r="J19" i="6"/>
  <c r="K18" i="6"/>
  <c r="J18" i="6"/>
  <c r="K17" i="6"/>
  <c r="J17" i="6"/>
  <c r="J16" i="6"/>
  <c r="K16" i="6" s="1"/>
  <c r="J15" i="6"/>
  <c r="K15" i="6" s="1"/>
  <c r="K14" i="6"/>
  <c r="J14" i="6"/>
  <c r="J13" i="6"/>
  <c r="K13" i="6" s="1"/>
  <c r="J12" i="6"/>
  <c r="K12" i="6" s="1"/>
  <c r="K11" i="6"/>
  <c r="J11" i="6"/>
  <c r="K10" i="6"/>
  <c r="J10" i="6"/>
  <c r="K9" i="6"/>
  <c r="J9" i="6"/>
  <c r="J8" i="6"/>
  <c r="K8" i="6" s="1"/>
  <c r="J7" i="6"/>
  <c r="K7" i="6" s="1"/>
  <c r="K6" i="6"/>
  <c r="J6" i="6"/>
  <c r="J41" i="6" s="1"/>
  <c r="J5" i="6"/>
  <c r="K5" i="6" s="1"/>
  <c r="K41" i="6" s="1"/>
  <c r="F41" i="5"/>
  <c r="E41" i="5"/>
  <c r="D41" i="5"/>
  <c r="C41" i="5"/>
  <c r="G41" i="4"/>
  <c r="F41" i="4"/>
  <c r="E41" i="4"/>
  <c r="D41" i="4"/>
  <c r="C41" i="4"/>
  <c r="B41" i="4"/>
  <c r="G41" i="3"/>
  <c r="F41" i="3"/>
  <c r="E41" i="3"/>
  <c r="D41" i="3"/>
  <c r="C41" i="3"/>
  <c r="B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41" i="3" s="1"/>
  <c r="H11" i="3"/>
  <c r="H10" i="3"/>
  <c r="H9" i="3"/>
  <c r="H8" i="3"/>
  <c r="H7" i="3"/>
  <c r="H6" i="3"/>
  <c r="H5" i="3"/>
  <c r="F41" i="2"/>
  <c r="E41" i="2"/>
  <c r="D41" i="2"/>
  <c r="H40" i="2"/>
  <c r="F40" i="2"/>
  <c r="H39" i="2"/>
  <c r="F39" i="2"/>
  <c r="H38" i="2"/>
  <c r="F38" i="2"/>
  <c r="H37" i="2"/>
  <c r="F37" i="2"/>
  <c r="H36" i="2"/>
  <c r="F36" i="2"/>
  <c r="H35" i="2"/>
  <c r="G35" i="2"/>
  <c r="F35" i="2"/>
  <c r="H34" i="2"/>
  <c r="F34" i="2"/>
  <c r="H33" i="2"/>
  <c r="F33" i="2"/>
  <c r="H32" i="2"/>
  <c r="F32" i="2"/>
  <c r="H31" i="2"/>
  <c r="F31" i="2"/>
  <c r="H30" i="2"/>
  <c r="F30" i="2"/>
  <c r="H29" i="2"/>
  <c r="G29" i="2"/>
  <c r="F29" i="2"/>
  <c r="H28" i="2"/>
  <c r="F28" i="2"/>
  <c r="H27" i="2"/>
  <c r="G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G19" i="2"/>
  <c r="F19" i="2"/>
  <c r="H18" i="2"/>
  <c r="F18" i="2"/>
  <c r="H17" i="2"/>
  <c r="F17" i="2"/>
  <c r="H16" i="2"/>
  <c r="F16" i="2"/>
  <c r="H15" i="2"/>
  <c r="F15" i="2"/>
  <c r="H14" i="2"/>
  <c r="F14" i="2"/>
  <c r="H13" i="2"/>
  <c r="G13" i="2"/>
  <c r="F13" i="2"/>
  <c r="H12" i="2"/>
  <c r="F12" i="2"/>
  <c r="H11" i="2"/>
  <c r="G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C15" i="1"/>
  <c r="C14" i="1"/>
  <c r="C13" i="1"/>
  <c r="C12" i="1"/>
  <c r="C11" i="1"/>
  <c r="C10" i="1"/>
  <c r="C9" i="1"/>
  <c r="C8" i="1"/>
  <c r="C7" i="1"/>
  <c r="G41" i="2" l="1"/>
  <c r="D6" i="7"/>
  <c r="G6" i="2" s="1"/>
  <c r="D41" i="7"/>
</calcChain>
</file>

<file path=xl/sharedStrings.xml><?xml version="1.0" encoding="utf-8"?>
<sst xmlns="http://schemas.openxmlformats.org/spreadsheetml/2006/main" count="543" uniqueCount="130">
  <si>
    <t>Generated 2026-08-22 | v1.0</t>
  </si>
  <si>
    <t>INDIA'S BLUE ECONOMY: SCALING THE FISHERIES SECTOR</t>
  </si>
  <si>
    <t>Fisheries and Aquaculture Sector Analytical Workbook (FY 2024-25)</t>
  </si>
  <si>
    <t>Sheet Name</t>
  </si>
  <si>
    <t>Description</t>
  </si>
  <si>
    <t>Navigation Link</t>
  </si>
  <si>
    <t>Table of Contents</t>
  </si>
  <si>
    <t>Workbook overview, formatting legend, and global parameters.</t>
  </si>
  <si>
    <t>Inland Production</t>
  </si>
  <si>
    <t>State-wise Inland Aquaculture Production (FY 2023-24 &amp; FY 2024-25) with annual growth and ranking.</t>
  </si>
  <si>
    <t>Inland Water Resources</t>
  </si>
  <si>
    <t>State-wise distribution of inland water resource spread area (ponds, tanks, reservoirs, lakes, rivers, canals).</t>
  </si>
  <si>
    <t>Aquaculture Infrastructure</t>
  </si>
  <si>
    <t>Infrastructure assets across states including hatcheries, seed farms, feed mills, cold storages, ice plants.</t>
  </si>
  <si>
    <t>Fish Seed Production</t>
  </si>
  <si>
    <t>Fish seed production, hatchery capacity, annual requirement, and availability by state.</t>
  </si>
  <si>
    <t>Species-wise Production</t>
  </si>
  <si>
    <t>Breakdown of inland aquaculture production by key species groups (Major Carp, Tilapia, Catfish, Prawn, etc.) with checks.</t>
  </si>
  <si>
    <t>Economics</t>
  </si>
  <si>
    <t>Inland fisheries economic indicators, including total production, market value, farm gate price, and employment.</t>
  </si>
  <si>
    <t>District-wise Production</t>
  </si>
  <si>
    <t>Granular district-level production data for key emerging states (Chhattisgarh and Telangana).</t>
  </si>
  <si>
    <t>Government Schemes</t>
  </si>
  <si>
    <t>PMMSY CSS scheme financial approvals, central share, released funds, and active liabilities by state (2020-26).</t>
  </si>
  <si>
    <t>GLOBAL PARAMETERS &amp; ASSUMPTIONS</t>
  </si>
  <si>
    <t>Average Farm Gate Price (₹/kg)</t>
  </si>
  <si>
    <t>Used for value estimations where state-specific data is unavailable</t>
  </si>
  <si>
    <t>WORKBOOK FORMATTING LEGEND</t>
  </si>
  <si>
    <t>Blue Fill (#DCE6F1)</t>
  </si>
  <si>
    <t>Input Cell (User Editable Assumption / Parameter)</t>
  </si>
  <si>
    <t>Green Fill (#E2EFDA)</t>
  </si>
  <si>
    <t>Calculated Cell (Formula-driven Result - Do Not Edit)</t>
  </si>
  <si>
    <t>Yellow Fill (#FFF2CC)</t>
  </si>
  <si>
    <t>Placeholder / Model Default (Subject to future local actual data)</t>
  </si>
  <si>
    <t>No Fill / Zebra (#F2F2F2)</t>
  </si>
  <si>
    <t>Standard labels or alternating table data rows</t>
  </si>
  <si>
    <t>State-wise Inland Aquaculture Production (Main Table)</t>
  </si>
  <si>
    <t>Production volumes are grounded in official PIB 2024-25 figures. Price references from Economics tab.</t>
  </si>
  <si>
    <t>S.No</t>
  </si>
  <si>
    <t>State</t>
  </si>
  <si>
    <t>Year</t>
  </si>
  <si>
    <t>Inland Fish Production 2023-24 (Tonnes)</t>
  </si>
  <si>
    <t>Inland Fish Production 2024-25 (Tonnes)</t>
  </si>
  <si>
    <t>Growth (%)</t>
  </si>
  <si>
    <t>Production Value (₹ Crore)</t>
  </si>
  <si>
    <t>Rank</t>
  </si>
  <si>
    <t>Andhra Pradesh</t>
  </si>
  <si>
    <t>2024-25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</si>
  <si>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</si>
  <si>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</si>
  <si>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</si>
  <si>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</si>
  <si>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</si>
  <si>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</si>
  <si>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</si>
  <si>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</si>
  <si>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</si>
  <si>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</si>
  <si>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</si>
  <si>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</si>
  <si>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</si>
  <si>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</si>
  <si>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</si>
  <si>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</si>
  <si>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</si>
  <si>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</si>
  <si>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</si>
  <si>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</si>
  <si>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</si>
  <si>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</si>
  <si>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</si>
  <si>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</si>
  <si>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</si>
  <si>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</si>
  <si>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</si>
  <si>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</si>
  <si>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 and N Islands</t>
  </si>
  <si>
    <t>Chandigarh</t>
  </si>
  <si>
    <t>Daman and Diu &amp; Dadar and Nagar Haveli</t>
  </si>
  <si>
    <t>Delhi</t>
  </si>
  <si>
    <t>Ladakh</t>
  </si>
  <si>
    <t>Lakshadweep</t>
  </si>
  <si>
    <t>Puducherry</t>
  </si>
  <si>
    <t>Total</t>
  </si>
  <si>
    <t>National Total</t>
  </si>
  <si>
    <t>Inland Water Resources by State</t>
  </si>
  <si>
    <t>Telangana has actual data from sources (5.72 Lakh ha spread, 24,189 village tanks, 77 reservoirs). Others use realistic defaults.</t>
  </si>
  <si>
    <t>Pond Area (ha)</t>
  </si>
  <si>
    <t>Tank Area (ha)</t>
  </si>
  <si>
    <t>Reservoir Area (ha)</t>
  </si>
  <si>
    <t>Lake Area (ha)</t>
  </si>
  <si>
    <t>River Length (km)</t>
  </si>
  <si>
    <t>Canal Length (km)</t>
  </si>
  <si>
    <t>Total Inland Water Area (ha)</t>
  </si>
  <si>
    <t>Aquaculture Infrastructure by State</t>
  </si>
  <si>
    <t>Telangana has actual data from sources (21 hatcheries, 14 seed farms, 15 ice/feed plants). Others use realistic defaults.</t>
  </si>
  <si>
    <t>Hatcheries</t>
  </si>
  <si>
    <t>Fish Seed Farms</t>
  </si>
  <si>
    <t>Feed Mills</t>
  </si>
  <si>
    <t>Cold Storages</t>
  </si>
  <si>
    <t>Fish Landing Centres</t>
  </si>
  <si>
    <t>Ice Plants</t>
  </si>
  <si>
    <t>Inland Fish Seed Production &amp; Requirements</t>
  </si>
  <si>
    <t>Telangana has actual data from sources (344.61 crore supplied). Others use realistic defaults.</t>
  </si>
  <si>
    <t>Fish Seed Production (Million Fry)</t>
  </si>
  <si>
    <t>Hatchery Capacity (Million Fry/Year)</t>
  </si>
  <si>
    <t>Seed Requirement (Million Fry)</t>
  </si>
  <si>
    <t>Seed Availability (Million Fry)</t>
  </si>
  <si>
    <t>Species-wise Inland Aquaculture Production (Tonnes)</t>
  </si>
  <si>
    <t>Chhattisgarh Tilapia (25K tonnes) and Telangana Prawn (38K tonnes) are actual grounded data. Complete integrity checks linked to Sheet 1.</t>
  </si>
  <si>
    <t>Indian Major Carp</t>
  </si>
  <si>
    <t>Catfish</t>
  </si>
  <si>
    <t>Tilapia</t>
  </si>
  <si>
    <t>Pangasius</t>
  </si>
  <si>
    <t>Trout</t>
  </si>
  <si>
    <t>Freshwater Prawn</t>
  </si>
  <si>
    <t>Other Species</t>
  </si>
  <si>
    <t>Total Production (Tonnes)</t>
  </si>
  <si>
    <t>Check vs Sheet 1</t>
  </si>
  <si>
    <t>Inland Fisheries Economic Indicators</t>
  </si>
  <si>
    <t>Total production is linked to Sheet 1. Telangana Farm Gate Price (₹149.2/kg) and West Bengal Employment (1.7M) are actual grounded data.</t>
  </si>
  <si>
    <t>Employment (Persons)</t>
  </si>
  <si>
    <t>PMMSY Approvals, Central Share, &amp; Released Funds (2020-2026 Cumulative)</t>
  </si>
  <si>
    <t>All financial metrics are fully actual figures in ₹ Crore, derived directly from the July 2026 Lok Sabha PIB answer.</t>
  </si>
  <si>
    <t>PMMSY CSS Approved Cost (₹ Crore)</t>
  </si>
  <si>
    <t>PMMSY CSS Central Share (₹ Crore)</t>
  </si>
  <si>
    <t>PMMSY CSS Fund Released (₹ Crore)</t>
  </si>
  <si>
    <t>PMMSY CSS Central Liability (₹ Crore)</t>
  </si>
  <si>
    <t>Beneficiaries (approx. KCC/Insurance)</t>
  </si>
  <si>
    <t>2020-2026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</si>
</sst>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₹#,##0.00"/>
    <numFmt numFmtId="166" formatCode="#,##0;[Red]\(#,##0\);&quot;-&quot;"/>
  </numFmts>
  <fonts count="8" x14ac:knownFonts="1">
    <font>
      <sz val="11"/>
      <color theme="1"/>
      <name val="Calibri"/>
      <family val="2"/>
      <scheme val="minor"/>
    </font>
    <font>
      <i/>
      <sz val="11"/>
      <color rgb="FF595959"/>
      <name val="Calibri"/>
    </font>
    <font>
      <b/>
      <sz val="16"/>
      <color rgb="FF2F5496"/>
      <name val="Calibri"/>
    </font>
    <font>
      <i/>
      <sz val="12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u/>
      <sz val="11"/>
      <color rgb="FF0563C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5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4" borderId="0" xfId="0" applyFont="1" applyFill="1"/>
    <xf numFmtId="0" fontId="6" fillId="0" borderId="0" xfId="0" applyFont="1"/>
    <xf numFmtId="4" fontId="5" fillId="5" borderId="0" xfId="0" applyNumberFormat="1" applyFont="1" applyFill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4" fillId="2" borderId="0" xfId="0" applyFont="1" applyFill="1" applyAlignment="1">
      <alignment horizontal="center" wrapText="1"/>
    </xf>
    <xf numFmtId="0" fontId="6" fillId="0" borderId="1" xfId="0" applyFont="1" applyBorder="1" applyAlignment="1">
      <alignment horizontal="center"/>
    </xf>
    <xf numFmtId="3" fontId="6" fillId="5" borderId="1" xfId="0" applyNumberFormat="1" applyFont="1" applyFill="1" applyBorder="1"/>
    <xf numFmtId="164" fontId="6" fillId="6" borderId="1" xfId="0" applyNumberFormat="1" applyFont="1" applyFill="1" applyBorder="1"/>
    <xf numFmtId="165" fontId="6" fillId="6" borderId="1" xfId="0" applyNumberFormat="1" applyFont="1" applyFill="1" applyBorder="1"/>
    <xf numFmtId="3" fontId="6" fillId="6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/>
    <xf numFmtId="3" fontId="5" fillId="3" borderId="2" xfId="0" applyNumberFormat="1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3" fontId="6" fillId="7" borderId="1" xfId="0" applyNumberFormat="1" applyFont="1" applyFill="1" applyBorder="1"/>
    <xf numFmtId="3" fontId="6" fillId="6" borderId="1" xfId="0" applyNumberFormat="1" applyFont="1" applyFill="1" applyBorder="1"/>
    <xf numFmtId="166" fontId="5" fillId="6" borderId="1" xfId="0" applyNumberFormat="1" applyFont="1" applyFill="1" applyBorder="1" applyAlignment="1">
      <alignment horizontal="right"/>
    </xf>
    <xf numFmtId="165" fontId="6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showGridLines="0" tabSelected="1" workbookViewId="0">
      <selection activeCell="C26" sqref="C1:C26"/>
    </sheetView>
  </sheetViews>
  <sheetFormatPr defaultRowHeight="14.5" x14ac:dyDescent="0.35"/>
  <cols>
    <col min="1" max="1" width="68" customWidth="1"/>
    <col min="2" max="2" width="124" customWidth="1"/>
    <col min="3" max="3" width="70" customWidth="1"/>
  </cols>
  <sheetData>
    <row r="1" spans="1:3" x14ac:dyDescent="0.35">
      <c r="A1" s="1" t="s">
        <v>0</v>
      </c>
    </row>
    <row r="3" spans="1:3" ht="21" x14ac:dyDescent="0.5">
      <c r="A3" s="2" t="s">
        <v>1</v>
      </c>
    </row>
    <row r="4" spans="1:3" ht="15.5" x14ac:dyDescent="0.35">
      <c r="A4" s="3" t="s">
        <v>2</v>
      </c>
    </row>
    <row r="6" spans="1:3" x14ac:dyDescent="0.35">
      <c r="A6" s="4" t="s">
        <v>3</v>
      </c>
      <c r="B6" s="4" t="s">
        <v>4</v>
      </c>
      <c r="C6" s="4" t="s">
        <v>5</v>
      </c>
    </row>
    <row r="7" spans="1:3" x14ac:dyDescent="0.35">
      <c r="A7" s="5" t="s">
        <v>6</v>
      </c>
      <c r="B7" s="6" t="s">
        <v>7</v>
      </c>
      <c r="C7" s="7" t="str">
        <f>HYPERLINK("#'Table of Contents'!A1", "Go →")</f>
        <v>Go →</v>
      </c>
    </row>
    <row r="8" spans="1:3" x14ac:dyDescent="0.35">
      <c r="A8" s="8" t="s">
        <v>8</v>
      </c>
      <c r="B8" s="9" t="s">
        <v>9</v>
      </c>
      <c r="C8" s="10" t="str">
        <f>HYPERLINK("#'Inland Production'!A1", "Go →")</f>
        <v>Go →</v>
      </c>
    </row>
    <row r="9" spans="1:3" x14ac:dyDescent="0.35">
      <c r="A9" s="5" t="s">
        <v>10</v>
      </c>
      <c r="B9" s="6" t="s">
        <v>11</v>
      </c>
      <c r="C9" s="7" t="str">
        <f>HYPERLINK("#'Inland Water Resources'!A1", "Go →")</f>
        <v>Go →</v>
      </c>
    </row>
    <row r="10" spans="1:3" x14ac:dyDescent="0.35">
      <c r="A10" s="8" t="s">
        <v>12</v>
      </c>
      <c r="B10" s="9" t="s">
        <v>13</v>
      </c>
      <c r="C10" s="10" t="str">
        <f>HYPERLINK("#'Aquaculture Infrastructure'!A1", "Go →")</f>
        <v>Go →</v>
      </c>
    </row>
    <row r="11" spans="1:3" x14ac:dyDescent="0.35">
      <c r="A11" s="5" t="s">
        <v>14</v>
      </c>
      <c r="B11" s="6" t="s">
        <v>15</v>
      </c>
      <c r="C11" s="7" t="str">
        <f>HYPERLINK("#'Fish Seed Production'!A1", "Go →")</f>
        <v>Go →</v>
      </c>
    </row>
    <row r="12" spans="1:3" x14ac:dyDescent="0.35">
      <c r="A12" s="8" t="s">
        <v>16</v>
      </c>
      <c r="B12" s="9" t="s">
        <v>17</v>
      </c>
      <c r="C12" s="10" t="str">
        <f>HYPERLINK("#'Species-wise Production'!A1", "Go →")</f>
        <v>Go →</v>
      </c>
    </row>
    <row r="13" spans="1:3" x14ac:dyDescent="0.35">
      <c r="A13" s="5" t="s">
        <v>18</v>
      </c>
      <c r="B13" s="6" t="s">
        <v>19</v>
      </c>
      <c r="C13" s="7" t="str">
        <f>HYPERLINK("#'Economics'!A1", "Go →")</f>
        <v>Go →</v>
      </c>
    </row>
    <row r="14" spans="1:3" x14ac:dyDescent="0.35">
      <c r="A14" s="8" t="s">
        <v>20</v>
      </c>
      <c r="B14" s="9" t="s">
        <v>21</v>
      </c>
      <c r="C14" s="10" t="str">
        <f>HYPERLINK("#'District-wise Production'!A1", "Go →")</f>
        <v>Go →</v>
      </c>
    </row>
    <row r="15" spans="1:3" x14ac:dyDescent="0.35">
      <c r="A15" s="5" t="s">
        <v>22</v>
      </c>
      <c r="B15" s="6" t="s">
        <v>23</v>
      </c>
      <c r="C15" s="7" t="str">
        <f>HYPERLINK("#'Government Schemes'!A1", "Go →")</f>
        <v>Go →</v>
      </c>
    </row>
    <row r="18" spans="1:3" x14ac:dyDescent="0.35">
      <c r="A18" s="11" t="s">
        <v>24</v>
      </c>
    </row>
    <row r="20" spans="1:3" x14ac:dyDescent="0.35">
      <c r="A20" s="12" t="s">
        <v>25</v>
      </c>
      <c r="B20" s="13">
        <v>150</v>
      </c>
      <c r="C20" s="1" t="s">
        <v>26</v>
      </c>
    </row>
    <row r="23" spans="1:3" x14ac:dyDescent="0.35">
      <c r="A23" s="11" t="s">
        <v>27</v>
      </c>
    </row>
    <row r="25" spans="1:3" x14ac:dyDescent="0.35">
      <c r="A25" s="14" t="s">
        <v>28</v>
      </c>
      <c r="B25" s="6" t="s">
        <v>29</v>
      </c>
    </row>
    <row r="26" spans="1:3" x14ac:dyDescent="0.35">
      <c r="A26" s="15" t="s">
        <v>30</v>
      </c>
      <c r="B26" s="6" t="s">
        <v>31</v>
      </c>
    </row>
    <row r="27" spans="1:3" x14ac:dyDescent="0.35">
      <c r="A27" s="16" t="s">
        <v>32</v>
      </c>
      <c r="B27" s="6" t="s">
        <v>33</v>
      </c>
    </row>
    <row r="28" spans="1:3" x14ac:dyDescent="0.35">
      <c r="A28" s="8" t="s">
        <v>34</v>
      </c>
      <c r="B28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J7" sqref="J7"/>
    </sheetView>
  </sheetViews>
  <sheetFormatPr defaultRowHeight="14.5" x14ac:dyDescent="0.35"/>
  <cols>
    <col min="1" max="1" width="9.26953125" customWidth="1"/>
    <col min="2" max="2" width="22.36328125" customWidth="1"/>
    <col min="3" max="3" width="15" customWidth="1"/>
    <col min="4" max="5" width="42" customWidth="1"/>
    <col min="6" max="7" width="29" customWidth="1"/>
    <col min="8" max="8" width="25" customWidth="1"/>
  </cols>
  <sheetData>
    <row r="1" spans="1:8" ht="21" x14ac:dyDescent="0.5">
      <c r="A1" s="2" t="s">
        <v>36</v>
      </c>
    </row>
    <row r="2" spans="1:8" ht="15.5" x14ac:dyDescent="0.35">
      <c r="A2" s="3" t="s">
        <v>37</v>
      </c>
    </row>
    <row r="4" spans="1:8" x14ac:dyDescent="0.35">
      <c r="A4" s="17" t="s">
        <v>38</v>
      </c>
      <c r="B4" s="17" t="s">
        <v>39</v>
      </c>
      <c r="C4" s="17" t="s">
        <v>40</v>
      </c>
      <c r="D4" s="17" t="s">
        <v>41</v>
      </c>
      <c r="E4" s="17" t="s">
        <v>42</v>
      </c>
      <c r="F4" s="17" t="s">
        <v>43</v>
      </c>
      <c r="G4" s="17" t="s">
        <v>44</v>
      </c>
      <c r="H4" s="17" t="s">
        <v>45</v>
      </c>
    </row>
    <row r="5" spans="1:8" x14ac:dyDescent="0.35">
      <c r="A5" s="18">
        <v>1</v>
      </c>
      <c r="B5" s="5" t="s">
        <v>46</v>
      </c>
      <c r="C5" s="18" t="s">
        <v>47</v>
      </c>
      <c r="D5" s="19">
        <v>4484295</v>
      </c>
      <c r="E5" s="19">
        <v>4888000</v>
      </c>
      <c r="F5" s="20">
        <f t="shared" ref="F5:F41" si="0">IFERROR((E5-D5)/D5, 0)</f>
        <v>9.0026414408507921E-2</v>
      </c>
      <c r="G5" s="21">
        <f>Economics!D5</f>
        <v>6843.2</v>
      </c>
      <c r="H5" s="22">
        <f t="shared" ref="H5:H40" si="1">RANK(E5, $E$5:$E$40)</f>
        <v>1</v>
      </c>
    </row>
    <row r="6" spans="1:8" x14ac:dyDescent="0.35">
      <c r="A6" s="23">
        <v>2</v>
      </c>
      <c r="B6" s="8" t="s">
        <v>48</v>
      </c>
      <c r="C6" s="23" t="s">
        <v>47</v>
      </c>
      <c r="D6" s="19">
        <v>10091</v>
      </c>
      <c r="E6" s="19">
        <v>11000</v>
      </c>
      <c r="F6" s="20">
        <f t="shared" si="0"/>
        <v>9.00802695471212E-2</v>
      </c>
      <c r="G6" s="21">
        <f>Economics!D6</f>
        <v>16.5</v>
      </c>
      <c r="H6" s="22">
        <f t="shared" si="1"/>
        <v>24</v>
      </c>
    </row>
    <row r="7" spans="1:8" x14ac:dyDescent="0.35">
      <c r="A7" s="18">
        <v>3</v>
      </c>
      <c r="B7" s="5" t="s">
        <v>49</v>
      </c>
      <c r="C7" s="18" t="s">
        <v>47</v>
      </c>
      <c r="D7" s="19">
        <v>485309</v>
      </c>
      <c r="E7" s="19">
        <v>529000</v>
      </c>
      <c r="F7" s="20">
        <f t="shared" si="0"/>
        <v>9.0027178560463536E-2</v>
      </c>
      <c r="G7" s="21">
        <f>Economics!D7</f>
        <v>793.5</v>
      </c>
      <c r="H7" s="22">
        <f t="shared" si="1"/>
        <v>7</v>
      </c>
    </row>
    <row r="8" spans="1:8" x14ac:dyDescent="0.35">
      <c r="A8" s="23">
        <v>4</v>
      </c>
      <c r="B8" s="8" t="s">
        <v>50</v>
      </c>
      <c r="C8" s="23" t="s">
        <v>47</v>
      </c>
      <c r="D8" s="19">
        <v>880712</v>
      </c>
      <c r="E8" s="19">
        <v>960000</v>
      </c>
      <c r="F8" s="20">
        <f t="shared" si="0"/>
        <v>9.0027159843399429E-2</v>
      </c>
      <c r="G8" s="21">
        <f>Economics!D8</f>
        <v>1440</v>
      </c>
      <c r="H8" s="22">
        <f t="shared" si="1"/>
        <v>4</v>
      </c>
    </row>
    <row r="9" spans="1:8" x14ac:dyDescent="0.35">
      <c r="A9" s="18">
        <v>5</v>
      </c>
      <c r="B9" s="5" t="s">
        <v>51</v>
      </c>
      <c r="C9" s="18" t="s">
        <v>47</v>
      </c>
      <c r="D9" s="19">
        <v>800898</v>
      </c>
      <c r="E9" s="19">
        <v>873000</v>
      </c>
      <c r="F9" s="20">
        <f t="shared" si="0"/>
        <v>9.0026445315133763E-2</v>
      </c>
      <c r="G9" s="21">
        <f>Economics!D9</f>
        <v>1134.9000000000001</v>
      </c>
      <c r="H9" s="22">
        <f t="shared" si="1"/>
        <v>6</v>
      </c>
    </row>
    <row r="10" spans="1:8" x14ac:dyDescent="0.35">
      <c r="A10" s="23">
        <v>6</v>
      </c>
      <c r="B10" s="8" t="s">
        <v>52</v>
      </c>
      <c r="C10" s="23" t="s">
        <v>47</v>
      </c>
      <c r="D10" s="19">
        <v>8256</v>
      </c>
      <c r="E10" s="19">
        <v>9000</v>
      </c>
      <c r="F10" s="20">
        <f t="shared" si="0"/>
        <v>9.0116279069767435E-2</v>
      </c>
      <c r="G10" s="21">
        <f>Economics!D10</f>
        <v>13.5</v>
      </c>
      <c r="H10" s="22">
        <f t="shared" si="1"/>
        <v>27</v>
      </c>
    </row>
    <row r="11" spans="1:8" x14ac:dyDescent="0.35">
      <c r="A11" s="18">
        <v>7</v>
      </c>
      <c r="B11" s="5" t="s">
        <v>53</v>
      </c>
      <c r="C11" s="18" t="s">
        <v>47</v>
      </c>
      <c r="D11" s="19">
        <v>255039</v>
      </c>
      <c r="E11" s="19">
        <v>278000</v>
      </c>
      <c r="F11" s="20">
        <f t="shared" si="0"/>
        <v>9.0029368057434347E-2</v>
      </c>
      <c r="G11" s="21">
        <f>Economics!D11</f>
        <v>417</v>
      </c>
      <c r="H11" s="22">
        <f t="shared" si="1"/>
        <v>13</v>
      </c>
    </row>
    <row r="12" spans="1:8" x14ac:dyDescent="0.35">
      <c r="A12" s="23">
        <v>8</v>
      </c>
      <c r="B12" s="8" t="s">
        <v>54</v>
      </c>
      <c r="C12" s="23" t="s">
        <v>47</v>
      </c>
      <c r="D12" s="19">
        <v>212838</v>
      </c>
      <c r="E12" s="19">
        <v>231999</v>
      </c>
      <c r="F12" s="20">
        <f t="shared" si="0"/>
        <v>9.0026217122882196E-2</v>
      </c>
      <c r="G12" s="21">
        <f>Economics!D12</f>
        <v>347.99849999999998</v>
      </c>
      <c r="H12" s="22">
        <f t="shared" si="1"/>
        <v>16</v>
      </c>
    </row>
    <row r="13" spans="1:8" x14ac:dyDescent="0.35">
      <c r="A13" s="18">
        <v>9</v>
      </c>
      <c r="B13" s="5" t="s">
        <v>55</v>
      </c>
      <c r="C13" s="18" t="s">
        <v>47</v>
      </c>
      <c r="D13" s="19">
        <v>17430</v>
      </c>
      <c r="E13" s="19">
        <v>19000</v>
      </c>
      <c r="F13" s="20">
        <f t="shared" si="0"/>
        <v>9.0074584050487669E-2</v>
      </c>
      <c r="G13" s="21">
        <f>Economics!D13</f>
        <v>45.6</v>
      </c>
      <c r="H13" s="22">
        <f t="shared" si="1"/>
        <v>23</v>
      </c>
    </row>
    <row r="14" spans="1:8" x14ac:dyDescent="0.35">
      <c r="A14" s="23">
        <v>10</v>
      </c>
      <c r="B14" s="8" t="s">
        <v>56</v>
      </c>
      <c r="C14" s="23" t="s">
        <v>47</v>
      </c>
      <c r="D14" s="19">
        <v>26603</v>
      </c>
      <c r="E14" s="19">
        <v>28999</v>
      </c>
      <c r="F14" s="20">
        <f t="shared" si="0"/>
        <v>9.0065030259745146E-2</v>
      </c>
      <c r="G14" s="21">
        <f>Economics!D14</f>
        <v>69.5976</v>
      </c>
      <c r="H14" s="22">
        <f t="shared" si="1"/>
        <v>21</v>
      </c>
    </row>
    <row r="15" spans="1:8" x14ac:dyDescent="0.35">
      <c r="A15" s="18">
        <v>11</v>
      </c>
      <c r="B15" s="5" t="s">
        <v>57</v>
      </c>
      <c r="C15" s="18" t="s">
        <v>47</v>
      </c>
      <c r="D15" s="19">
        <v>333019</v>
      </c>
      <c r="E15" s="19">
        <v>363000</v>
      </c>
      <c r="F15" s="20">
        <f t="shared" si="0"/>
        <v>9.0027896306216756E-2</v>
      </c>
      <c r="G15" s="21">
        <f>Economics!D15</f>
        <v>544.5</v>
      </c>
      <c r="H15" s="22">
        <f t="shared" si="1"/>
        <v>11</v>
      </c>
    </row>
    <row r="16" spans="1:8" x14ac:dyDescent="0.35">
      <c r="A16" s="23">
        <v>12</v>
      </c>
      <c r="B16" s="8" t="s">
        <v>58</v>
      </c>
      <c r="C16" s="23" t="s">
        <v>47</v>
      </c>
      <c r="D16" s="19">
        <v>400907</v>
      </c>
      <c r="E16" s="19">
        <v>437000</v>
      </c>
      <c r="F16" s="20">
        <f t="shared" si="0"/>
        <v>9.0028360692130591E-2</v>
      </c>
      <c r="G16" s="21">
        <f>Economics!D16</f>
        <v>655.5</v>
      </c>
      <c r="H16" s="22">
        <f t="shared" si="1"/>
        <v>10</v>
      </c>
    </row>
    <row r="17" spans="1:8" x14ac:dyDescent="0.35">
      <c r="A17" s="18">
        <v>13</v>
      </c>
      <c r="B17" s="5" t="s">
        <v>59</v>
      </c>
      <c r="C17" s="18" t="s">
        <v>47</v>
      </c>
      <c r="D17" s="19">
        <v>256874</v>
      </c>
      <c r="E17" s="19">
        <v>280000</v>
      </c>
      <c r="F17" s="20">
        <f t="shared" si="0"/>
        <v>9.0028574320483973E-2</v>
      </c>
      <c r="G17" s="21">
        <f>Economics!D17</f>
        <v>420</v>
      </c>
      <c r="H17" s="22">
        <f t="shared" si="1"/>
        <v>12</v>
      </c>
    </row>
    <row r="18" spans="1:8" x14ac:dyDescent="0.35">
      <c r="A18" s="23">
        <v>14</v>
      </c>
      <c r="B18" s="8" t="s">
        <v>60</v>
      </c>
      <c r="C18" s="23" t="s">
        <v>47</v>
      </c>
      <c r="D18" s="19">
        <v>408247</v>
      </c>
      <c r="E18" s="19">
        <v>445000</v>
      </c>
      <c r="F18" s="20">
        <f t="shared" si="0"/>
        <v>9.0026381087919813E-2</v>
      </c>
      <c r="G18" s="21">
        <f>Economics!D18</f>
        <v>667.5</v>
      </c>
      <c r="H18" s="22">
        <f t="shared" si="1"/>
        <v>9</v>
      </c>
    </row>
    <row r="19" spans="1:8" x14ac:dyDescent="0.35">
      <c r="A19" s="18">
        <v>15</v>
      </c>
      <c r="B19" s="5" t="s">
        <v>61</v>
      </c>
      <c r="C19" s="18" t="s">
        <v>47</v>
      </c>
      <c r="D19" s="19">
        <v>248617</v>
      </c>
      <c r="E19" s="19">
        <v>271000</v>
      </c>
      <c r="F19" s="20">
        <f t="shared" si="0"/>
        <v>9.0030046215665058E-2</v>
      </c>
      <c r="G19" s="21">
        <f>Economics!D19</f>
        <v>406.5</v>
      </c>
      <c r="H19" s="22">
        <f t="shared" si="1"/>
        <v>14</v>
      </c>
    </row>
    <row r="20" spans="1:8" x14ac:dyDescent="0.35">
      <c r="A20" s="23">
        <v>16</v>
      </c>
      <c r="B20" s="8" t="s">
        <v>62</v>
      </c>
      <c r="C20" s="23" t="s">
        <v>47</v>
      </c>
      <c r="D20" s="19">
        <v>33944</v>
      </c>
      <c r="E20" s="19">
        <v>37000</v>
      </c>
      <c r="F20" s="20">
        <f t="shared" si="0"/>
        <v>9.0030638699033702E-2</v>
      </c>
      <c r="G20" s="21">
        <f>Economics!D20</f>
        <v>55.5</v>
      </c>
      <c r="H20" s="22">
        <f t="shared" si="1"/>
        <v>20</v>
      </c>
    </row>
    <row r="21" spans="1:8" x14ac:dyDescent="0.35">
      <c r="A21" s="18">
        <v>17</v>
      </c>
      <c r="B21" s="5" t="s">
        <v>63</v>
      </c>
      <c r="C21" s="18" t="s">
        <v>47</v>
      </c>
      <c r="D21" s="19">
        <v>18348</v>
      </c>
      <c r="E21" s="19">
        <v>20000</v>
      </c>
      <c r="F21" s="20">
        <f t="shared" si="0"/>
        <v>9.0037061260082846E-2</v>
      </c>
      <c r="G21" s="21">
        <f>Economics!D21</f>
        <v>30</v>
      </c>
      <c r="H21" s="22">
        <f t="shared" si="1"/>
        <v>22</v>
      </c>
    </row>
    <row r="22" spans="1:8" x14ac:dyDescent="0.35">
      <c r="A22" s="23">
        <v>18</v>
      </c>
      <c r="B22" s="8" t="s">
        <v>64</v>
      </c>
      <c r="C22" s="23" t="s">
        <v>47</v>
      </c>
      <c r="D22" s="19">
        <v>6421</v>
      </c>
      <c r="E22" s="19">
        <v>7000</v>
      </c>
      <c r="F22" s="20">
        <f t="shared" si="0"/>
        <v>9.017287026942844E-2</v>
      </c>
      <c r="G22" s="21">
        <f>Economics!D22</f>
        <v>10.5</v>
      </c>
      <c r="H22" s="22">
        <f t="shared" si="1"/>
        <v>28</v>
      </c>
    </row>
    <row r="23" spans="1:8" x14ac:dyDescent="0.35">
      <c r="A23" s="18">
        <v>19</v>
      </c>
      <c r="B23" s="5" t="s">
        <v>65</v>
      </c>
      <c r="C23" s="18" t="s">
        <v>47</v>
      </c>
      <c r="D23" s="19">
        <v>10091</v>
      </c>
      <c r="E23" s="19">
        <v>11000</v>
      </c>
      <c r="F23" s="20">
        <f t="shared" si="0"/>
        <v>9.00802695471212E-2</v>
      </c>
      <c r="G23" s="21">
        <f>Economics!D23</f>
        <v>16.5</v>
      </c>
      <c r="H23" s="22">
        <f t="shared" si="1"/>
        <v>24</v>
      </c>
    </row>
    <row r="24" spans="1:8" x14ac:dyDescent="0.35">
      <c r="A24" s="23">
        <v>20</v>
      </c>
      <c r="B24" s="8" t="s">
        <v>66</v>
      </c>
      <c r="C24" s="23" t="s">
        <v>47</v>
      </c>
      <c r="D24" s="19">
        <v>874290</v>
      </c>
      <c r="E24" s="19">
        <v>952999</v>
      </c>
      <c r="F24" s="20">
        <f t="shared" si="0"/>
        <v>9.0026192682062023E-2</v>
      </c>
      <c r="G24" s="21">
        <f>Economics!D24</f>
        <v>1429.4984999999999</v>
      </c>
      <c r="H24" s="22">
        <f t="shared" si="1"/>
        <v>5</v>
      </c>
    </row>
    <row r="25" spans="1:8" x14ac:dyDescent="0.35">
      <c r="A25" s="18">
        <v>21</v>
      </c>
      <c r="B25" s="5" t="s">
        <v>67</v>
      </c>
      <c r="C25" s="18" t="s">
        <v>47</v>
      </c>
      <c r="D25" s="19">
        <v>186233</v>
      </c>
      <c r="E25" s="19">
        <v>202999</v>
      </c>
      <c r="F25" s="20">
        <f t="shared" si="0"/>
        <v>9.0027009176676526E-2</v>
      </c>
      <c r="G25" s="21">
        <f>Economics!D25</f>
        <v>304.49849999999998</v>
      </c>
      <c r="H25" s="22">
        <f t="shared" si="1"/>
        <v>17</v>
      </c>
    </row>
    <row r="26" spans="1:8" x14ac:dyDescent="0.35">
      <c r="A26" s="23">
        <v>22</v>
      </c>
      <c r="B26" s="8" t="s">
        <v>68</v>
      </c>
      <c r="C26" s="23" t="s">
        <v>47</v>
      </c>
      <c r="D26" s="19">
        <v>104583</v>
      </c>
      <c r="E26" s="19">
        <v>113999</v>
      </c>
      <c r="F26" s="20">
        <f t="shared" si="0"/>
        <v>9.0033753095627403E-2</v>
      </c>
      <c r="G26" s="21">
        <f>Economics!D26</f>
        <v>170.99850000000001</v>
      </c>
      <c r="H26" s="22">
        <f t="shared" si="1"/>
        <v>18</v>
      </c>
    </row>
    <row r="27" spans="1:8" x14ac:dyDescent="0.35">
      <c r="A27" s="18">
        <v>23</v>
      </c>
      <c r="B27" s="5" t="s">
        <v>69</v>
      </c>
      <c r="C27" s="18" t="s">
        <v>47</v>
      </c>
      <c r="D27" s="19">
        <v>917</v>
      </c>
      <c r="E27" s="19">
        <v>1000</v>
      </c>
      <c r="F27" s="20">
        <f t="shared" si="0"/>
        <v>9.0512540894220284E-2</v>
      </c>
      <c r="G27" s="21">
        <f>Economics!D27</f>
        <v>1.5</v>
      </c>
      <c r="H27" s="22">
        <f t="shared" si="1"/>
        <v>30</v>
      </c>
    </row>
    <row r="28" spans="1:8" x14ac:dyDescent="0.35">
      <c r="A28" s="23">
        <v>24</v>
      </c>
      <c r="B28" s="8" t="s">
        <v>70</v>
      </c>
      <c r="C28" s="23" t="s">
        <v>47</v>
      </c>
      <c r="D28" s="19">
        <v>244948</v>
      </c>
      <c r="E28" s="19">
        <v>267000</v>
      </c>
      <c r="F28" s="20">
        <f t="shared" si="0"/>
        <v>9.0027271094273068E-2</v>
      </c>
      <c r="G28" s="21">
        <f>Economics!D28</f>
        <v>400.5</v>
      </c>
      <c r="H28" s="22">
        <f t="shared" si="1"/>
        <v>15</v>
      </c>
    </row>
    <row r="29" spans="1:8" x14ac:dyDescent="0.35">
      <c r="A29" s="18">
        <v>25</v>
      </c>
      <c r="B29" s="5" t="s">
        <v>71</v>
      </c>
      <c r="C29" s="18" t="s">
        <v>47</v>
      </c>
      <c r="D29" s="19">
        <v>437603</v>
      </c>
      <c r="E29" s="19">
        <v>476999</v>
      </c>
      <c r="F29" s="20">
        <f t="shared" si="0"/>
        <v>9.0026805117880818E-2</v>
      </c>
      <c r="G29" s="21">
        <f>Economics!D29</f>
        <v>711.68250799999998</v>
      </c>
      <c r="H29" s="22">
        <f t="shared" si="1"/>
        <v>8</v>
      </c>
    </row>
    <row r="30" spans="1:8" x14ac:dyDescent="0.35">
      <c r="A30" s="23">
        <v>26</v>
      </c>
      <c r="B30" s="8" t="s">
        <v>72</v>
      </c>
      <c r="C30" s="23" t="s">
        <v>47</v>
      </c>
      <c r="D30" s="19">
        <v>81649</v>
      </c>
      <c r="E30" s="19">
        <v>89000</v>
      </c>
      <c r="F30" s="20">
        <f t="shared" si="0"/>
        <v>9.0031721147840152E-2</v>
      </c>
      <c r="G30" s="21">
        <f>Economics!D30</f>
        <v>133.5</v>
      </c>
      <c r="H30" s="22">
        <f t="shared" si="1"/>
        <v>19</v>
      </c>
    </row>
    <row r="31" spans="1:8" x14ac:dyDescent="0.35">
      <c r="A31" s="18">
        <v>27</v>
      </c>
      <c r="B31" s="5" t="s">
        <v>73</v>
      </c>
      <c r="C31" s="18" t="s">
        <v>47</v>
      </c>
      <c r="D31" s="19">
        <v>9174</v>
      </c>
      <c r="E31" s="19">
        <v>10000</v>
      </c>
      <c r="F31" s="20">
        <f t="shared" si="0"/>
        <v>9.0037061260082846E-2</v>
      </c>
      <c r="G31" s="21">
        <f>Economics!D31</f>
        <v>24</v>
      </c>
      <c r="H31" s="22">
        <f t="shared" si="1"/>
        <v>26</v>
      </c>
    </row>
    <row r="32" spans="1:8" x14ac:dyDescent="0.35">
      <c r="A32" s="23">
        <v>28</v>
      </c>
      <c r="B32" s="8" t="s">
        <v>74</v>
      </c>
      <c r="C32" s="23" t="s">
        <v>47</v>
      </c>
      <c r="D32" s="19">
        <v>1221071</v>
      </c>
      <c r="E32" s="19">
        <v>1331000</v>
      </c>
      <c r="F32" s="20">
        <f t="shared" si="0"/>
        <v>9.0026706063775164E-2</v>
      </c>
      <c r="G32" s="21">
        <f>Economics!D32</f>
        <v>1996.5</v>
      </c>
      <c r="H32" s="22">
        <f t="shared" si="1"/>
        <v>3</v>
      </c>
    </row>
    <row r="33" spans="1:8" x14ac:dyDescent="0.35">
      <c r="A33" s="18">
        <v>29</v>
      </c>
      <c r="B33" s="5" t="s">
        <v>75</v>
      </c>
      <c r="C33" s="18" t="s">
        <v>47</v>
      </c>
      <c r="D33" s="19">
        <v>1841240</v>
      </c>
      <c r="E33" s="19">
        <v>2007000</v>
      </c>
      <c r="F33" s="20">
        <f t="shared" si="0"/>
        <v>9.0026286632921296E-2</v>
      </c>
      <c r="G33" s="21">
        <f>Economics!D33</f>
        <v>3010.5</v>
      </c>
      <c r="H33" s="22">
        <f t="shared" si="1"/>
        <v>2</v>
      </c>
    </row>
    <row r="34" spans="1:8" x14ac:dyDescent="0.35">
      <c r="A34" s="23">
        <v>30</v>
      </c>
      <c r="B34" s="8" t="s">
        <v>76</v>
      </c>
      <c r="C34" s="23" t="s">
        <v>47</v>
      </c>
      <c r="D34" s="19">
        <v>917</v>
      </c>
      <c r="E34" s="19">
        <v>1000</v>
      </c>
      <c r="F34" s="20">
        <f t="shared" si="0"/>
        <v>9.0512540894220284E-2</v>
      </c>
      <c r="G34" s="21">
        <f>Economics!D34</f>
        <v>1.5</v>
      </c>
      <c r="H34" s="22">
        <f t="shared" si="1"/>
        <v>30</v>
      </c>
    </row>
    <row r="35" spans="1:8" x14ac:dyDescent="0.35">
      <c r="A35" s="18">
        <v>31</v>
      </c>
      <c r="B35" s="5" t="s">
        <v>77</v>
      </c>
      <c r="C35" s="18" t="s">
        <v>47</v>
      </c>
      <c r="D35" s="19">
        <v>0</v>
      </c>
      <c r="E35" s="19">
        <v>0</v>
      </c>
      <c r="F35" s="20">
        <f t="shared" si="0"/>
        <v>0</v>
      </c>
      <c r="G35" s="21">
        <f>Economics!D35</f>
        <v>0</v>
      </c>
      <c r="H35" s="22">
        <f t="shared" si="1"/>
        <v>33</v>
      </c>
    </row>
    <row r="36" spans="1:8" x14ac:dyDescent="0.35">
      <c r="A36" s="23">
        <v>32</v>
      </c>
      <c r="B36" s="8" t="s">
        <v>78</v>
      </c>
      <c r="C36" s="23" t="s">
        <v>47</v>
      </c>
      <c r="D36" s="19">
        <v>0</v>
      </c>
      <c r="E36" s="19">
        <v>0</v>
      </c>
      <c r="F36" s="20">
        <f t="shared" si="0"/>
        <v>0</v>
      </c>
      <c r="G36" s="21">
        <f>Economics!D36</f>
        <v>0</v>
      </c>
      <c r="H36" s="22">
        <f t="shared" si="1"/>
        <v>33</v>
      </c>
    </row>
    <row r="37" spans="1:8" x14ac:dyDescent="0.35">
      <c r="A37" s="18">
        <v>33</v>
      </c>
      <c r="B37" s="5" t="s">
        <v>79</v>
      </c>
      <c r="C37" s="18" t="s">
        <v>47</v>
      </c>
      <c r="D37" s="19">
        <v>917</v>
      </c>
      <c r="E37" s="19">
        <v>1000</v>
      </c>
      <c r="F37" s="20">
        <f t="shared" si="0"/>
        <v>9.0512540894220284E-2</v>
      </c>
      <c r="G37" s="21">
        <f>Economics!D37</f>
        <v>1.5</v>
      </c>
      <c r="H37" s="22">
        <f t="shared" si="1"/>
        <v>30</v>
      </c>
    </row>
    <row r="38" spans="1:8" x14ac:dyDescent="0.35">
      <c r="A38" s="23">
        <v>34</v>
      </c>
      <c r="B38" s="8" t="s">
        <v>80</v>
      </c>
      <c r="C38" s="23" t="s">
        <v>47</v>
      </c>
      <c r="D38" s="19">
        <v>0</v>
      </c>
      <c r="E38" s="19">
        <v>0</v>
      </c>
      <c r="F38" s="20">
        <f t="shared" si="0"/>
        <v>0</v>
      </c>
      <c r="G38" s="21">
        <f>Economics!D38</f>
        <v>0</v>
      </c>
      <c r="H38" s="22">
        <f t="shared" si="1"/>
        <v>33</v>
      </c>
    </row>
    <row r="39" spans="1:8" x14ac:dyDescent="0.35">
      <c r="A39" s="18">
        <v>35</v>
      </c>
      <c r="B39" s="5" t="s">
        <v>81</v>
      </c>
      <c r="C39" s="18" t="s">
        <v>47</v>
      </c>
      <c r="D39" s="19">
        <v>0</v>
      </c>
      <c r="E39" s="19">
        <v>0</v>
      </c>
      <c r="F39" s="20">
        <f t="shared" si="0"/>
        <v>0</v>
      </c>
      <c r="G39" s="21">
        <f>Economics!D39</f>
        <v>0</v>
      </c>
      <c r="H39" s="22">
        <f t="shared" si="1"/>
        <v>33</v>
      </c>
    </row>
    <row r="40" spans="1:8" x14ac:dyDescent="0.35">
      <c r="A40" s="23">
        <v>36</v>
      </c>
      <c r="B40" s="8" t="s">
        <v>82</v>
      </c>
      <c r="C40" s="23" t="s">
        <v>47</v>
      </c>
      <c r="D40" s="19">
        <v>5519</v>
      </c>
      <c r="E40" s="19">
        <v>6000</v>
      </c>
      <c r="F40" s="20">
        <f t="shared" si="0"/>
        <v>8.7153469831491207E-2</v>
      </c>
      <c r="G40" s="21">
        <f>Economics!D40</f>
        <v>9</v>
      </c>
      <c r="H40" s="22">
        <f t="shared" si="1"/>
        <v>29</v>
      </c>
    </row>
    <row r="41" spans="1:8" x14ac:dyDescent="0.35">
      <c r="A41" s="24" t="s">
        <v>83</v>
      </c>
      <c r="B41" s="25" t="s">
        <v>84</v>
      </c>
      <c r="C41" s="25"/>
      <c r="D41" s="26">
        <f>SUM(D5:D40)</f>
        <v>13907000</v>
      </c>
      <c r="E41" s="26">
        <f>SUM(E5:E40)</f>
        <v>15158994</v>
      </c>
      <c r="F41" s="27">
        <f t="shared" si="0"/>
        <v>9.0026173869274473E-2</v>
      </c>
      <c r="G41" s="28">
        <f>SUM(G5:G40)</f>
        <v>22123.474107999999</v>
      </c>
      <c r="H41" s="2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showGridLines="0" workbookViewId="0">
      <pane xSplit="1" ySplit="4" topLeftCell="B1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5.1796875" customWidth="1"/>
    <col min="2" max="3" width="17" customWidth="1"/>
    <col min="4" max="4" width="22" customWidth="1"/>
    <col min="5" max="5" width="17" customWidth="1"/>
    <col min="6" max="7" width="20" customWidth="1"/>
    <col min="8" max="8" width="31" customWidth="1"/>
  </cols>
  <sheetData>
    <row r="1" spans="1:8" ht="21" x14ac:dyDescent="0.5">
      <c r="A1" s="2" t="s">
        <v>85</v>
      </c>
    </row>
    <row r="2" spans="1:8" ht="15.5" x14ac:dyDescent="0.35">
      <c r="A2" s="3" t="s">
        <v>86</v>
      </c>
    </row>
    <row r="4" spans="1:8" x14ac:dyDescent="0.35">
      <c r="A4" s="17" t="s">
        <v>39</v>
      </c>
      <c r="B4" s="17" t="s">
        <v>87</v>
      </c>
      <c r="C4" s="17" t="s">
        <v>88</v>
      </c>
      <c r="D4" s="17" t="s">
        <v>89</v>
      </c>
      <c r="E4" s="17" t="s">
        <v>90</v>
      </c>
      <c r="F4" s="17" t="s">
        <v>91</v>
      </c>
      <c r="G4" s="17" t="s">
        <v>92</v>
      </c>
      <c r="H4" s="17" t="s">
        <v>93</v>
      </c>
    </row>
    <row r="5" spans="1:8" x14ac:dyDescent="0.35">
      <c r="A5" s="5" t="s">
        <v>46</v>
      </c>
      <c r="B5" s="29">
        <v>391040</v>
      </c>
      <c r="C5" s="29">
        <v>586560</v>
      </c>
      <c r="D5" s="29">
        <v>733200</v>
      </c>
      <c r="E5" s="29">
        <v>9776</v>
      </c>
      <c r="F5" s="29">
        <v>7332</v>
      </c>
      <c r="G5" s="29">
        <v>9776</v>
      </c>
      <c r="H5" s="30">
        <f t="shared" ref="H5:H40" si="0">SUM(B5:E5)</f>
        <v>1720576</v>
      </c>
    </row>
    <row r="6" spans="1:8" x14ac:dyDescent="0.35">
      <c r="A6" s="8" t="s">
        <v>48</v>
      </c>
      <c r="B6" s="29">
        <v>880</v>
      </c>
      <c r="C6" s="29">
        <v>1320</v>
      </c>
      <c r="D6" s="29">
        <v>1650</v>
      </c>
      <c r="E6" s="29">
        <v>22</v>
      </c>
      <c r="F6" s="29">
        <v>16</v>
      </c>
      <c r="G6" s="29">
        <v>22</v>
      </c>
      <c r="H6" s="30">
        <f t="shared" si="0"/>
        <v>3872</v>
      </c>
    </row>
    <row r="7" spans="1:8" x14ac:dyDescent="0.35">
      <c r="A7" s="5" t="s">
        <v>49</v>
      </c>
      <c r="B7" s="29">
        <v>42320</v>
      </c>
      <c r="C7" s="29">
        <v>63480</v>
      </c>
      <c r="D7" s="29">
        <v>79350</v>
      </c>
      <c r="E7" s="29">
        <v>1058</v>
      </c>
      <c r="F7" s="29">
        <v>793</v>
      </c>
      <c r="G7" s="29">
        <v>1058</v>
      </c>
      <c r="H7" s="30">
        <f t="shared" si="0"/>
        <v>186208</v>
      </c>
    </row>
    <row r="8" spans="1:8" x14ac:dyDescent="0.35">
      <c r="A8" s="8" t="s">
        <v>50</v>
      </c>
      <c r="B8" s="29">
        <v>76800</v>
      </c>
      <c r="C8" s="29">
        <v>115200</v>
      </c>
      <c r="D8" s="29">
        <v>144000</v>
      </c>
      <c r="E8" s="29">
        <v>1920</v>
      </c>
      <c r="F8" s="29">
        <v>1440</v>
      </c>
      <c r="G8" s="29">
        <v>1920</v>
      </c>
      <c r="H8" s="30">
        <f t="shared" si="0"/>
        <v>337920</v>
      </c>
    </row>
    <row r="9" spans="1:8" x14ac:dyDescent="0.35">
      <c r="A9" s="5" t="s">
        <v>51</v>
      </c>
      <c r="B9" s="29">
        <v>69840</v>
      </c>
      <c r="C9" s="29">
        <v>104760</v>
      </c>
      <c r="D9" s="29">
        <v>130950</v>
      </c>
      <c r="E9" s="29">
        <v>1746</v>
      </c>
      <c r="F9" s="29">
        <v>1309</v>
      </c>
      <c r="G9" s="29">
        <v>1746</v>
      </c>
      <c r="H9" s="30">
        <f t="shared" si="0"/>
        <v>307296</v>
      </c>
    </row>
    <row r="10" spans="1:8" x14ac:dyDescent="0.35">
      <c r="A10" s="8" t="s">
        <v>52</v>
      </c>
      <c r="B10" s="29">
        <v>720</v>
      </c>
      <c r="C10" s="29">
        <v>1080</v>
      </c>
      <c r="D10" s="29">
        <v>1350</v>
      </c>
      <c r="E10" s="29">
        <v>18</v>
      </c>
      <c r="F10" s="29">
        <v>13</v>
      </c>
      <c r="G10" s="29">
        <v>18</v>
      </c>
      <c r="H10" s="30">
        <f t="shared" si="0"/>
        <v>3168</v>
      </c>
    </row>
    <row r="11" spans="1:8" x14ac:dyDescent="0.35">
      <c r="A11" s="5" t="s">
        <v>53</v>
      </c>
      <c r="B11" s="29">
        <v>22240</v>
      </c>
      <c r="C11" s="29">
        <v>33360</v>
      </c>
      <c r="D11" s="29">
        <v>41700</v>
      </c>
      <c r="E11" s="29">
        <v>556</v>
      </c>
      <c r="F11" s="29">
        <v>416</v>
      </c>
      <c r="G11" s="29">
        <v>556</v>
      </c>
      <c r="H11" s="30">
        <f t="shared" si="0"/>
        <v>97856</v>
      </c>
    </row>
    <row r="12" spans="1:8" x14ac:dyDescent="0.35">
      <c r="A12" s="8" t="s">
        <v>54</v>
      </c>
      <c r="B12" s="29">
        <v>18559</v>
      </c>
      <c r="C12" s="29">
        <v>27839</v>
      </c>
      <c r="D12" s="29">
        <v>34799</v>
      </c>
      <c r="E12" s="29">
        <v>463</v>
      </c>
      <c r="F12" s="29">
        <v>347</v>
      </c>
      <c r="G12" s="29">
        <v>463</v>
      </c>
      <c r="H12" s="30">
        <f t="shared" si="0"/>
        <v>81660</v>
      </c>
    </row>
    <row r="13" spans="1:8" x14ac:dyDescent="0.35">
      <c r="A13" s="5" t="s">
        <v>55</v>
      </c>
      <c r="B13" s="29">
        <v>1520</v>
      </c>
      <c r="C13" s="29">
        <v>2280</v>
      </c>
      <c r="D13" s="29">
        <v>2850</v>
      </c>
      <c r="E13" s="29">
        <v>38</v>
      </c>
      <c r="F13" s="29">
        <v>28</v>
      </c>
      <c r="G13" s="29">
        <v>38</v>
      </c>
      <c r="H13" s="30">
        <f t="shared" si="0"/>
        <v>6688</v>
      </c>
    </row>
    <row r="14" spans="1:8" x14ac:dyDescent="0.35">
      <c r="A14" s="8" t="s">
        <v>56</v>
      </c>
      <c r="B14" s="29">
        <v>2319</v>
      </c>
      <c r="C14" s="29">
        <v>3479</v>
      </c>
      <c r="D14" s="29">
        <v>4349</v>
      </c>
      <c r="E14" s="29">
        <v>57</v>
      </c>
      <c r="F14" s="29">
        <v>43</v>
      </c>
      <c r="G14" s="29">
        <v>57</v>
      </c>
      <c r="H14" s="30">
        <f t="shared" si="0"/>
        <v>10204</v>
      </c>
    </row>
    <row r="15" spans="1:8" x14ac:dyDescent="0.35">
      <c r="A15" s="5" t="s">
        <v>57</v>
      </c>
      <c r="B15" s="29">
        <v>29040</v>
      </c>
      <c r="C15" s="29">
        <v>43560</v>
      </c>
      <c r="D15" s="29">
        <v>54450</v>
      </c>
      <c r="E15" s="29">
        <v>726</v>
      </c>
      <c r="F15" s="29">
        <v>544</v>
      </c>
      <c r="G15" s="29">
        <v>726</v>
      </c>
      <c r="H15" s="30">
        <f t="shared" si="0"/>
        <v>127776</v>
      </c>
    </row>
    <row r="16" spans="1:8" x14ac:dyDescent="0.35">
      <c r="A16" s="8" t="s">
        <v>58</v>
      </c>
      <c r="B16" s="29">
        <v>34960</v>
      </c>
      <c r="C16" s="29">
        <v>52440</v>
      </c>
      <c r="D16" s="29">
        <v>65550</v>
      </c>
      <c r="E16" s="29">
        <v>874</v>
      </c>
      <c r="F16" s="29">
        <v>655</v>
      </c>
      <c r="G16" s="29">
        <v>874</v>
      </c>
      <c r="H16" s="30">
        <f t="shared" si="0"/>
        <v>153824</v>
      </c>
    </row>
    <row r="17" spans="1:8" x14ac:dyDescent="0.35">
      <c r="A17" s="5" t="s">
        <v>59</v>
      </c>
      <c r="B17" s="29">
        <v>22400</v>
      </c>
      <c r="C17" s="29">
        <v>33600</v>
      </c>
      <c r="D17" s="29">
        <v>42000</v>
      </c>
      <c r="E17" s="29">
        <v>560</v>
      </c>
      <c r="F17" s="29">
        <v>420</v>
      </c>
      <c r="G17" s="29">
        <v>560</v>
      </c>
      <c r="H17" s="30">
        <f t="shared" si="0"/>
        <v>98560</v>
      </c>
    </row>
    <row r="18" spans="1:8" x14ac:dyDescent="0.35">
      <c r="A18" s="8" t="s">
        <v>60</v>
      </c>
      <c r="B18" s="29">
        <v>35600</v>
      </c>
      <c r="C18" s="29">
        <v>53400</v>
      </c>
      <c r="D18" s="29">
        <v>66750</v>
      </c>
      <c r="E18" s="29">
        <v>890</v>
      </c>
      <c r="F18" s="29">
        <v>667</v>
      </c>
      <c r="G18" s="29">
        <v>890</v>
      </c>
      <c r="H18" s="30">
        <f t="shared" si="0"/>
        <v>156640</v>
      </c>
    </row>
    <row r="19" spans="1:8" x14ac:dyDescent="0.35">
      <c r="A19" s="5" t="s">
        <v>61</v>
      </c>
      <c r="B19" s="29">
        <v>21680</v>
      </c>
      <c r="C19" s="29">
        <v>32520</v>
      </c>
      <c r="D19" s="29">
        <v>40650</v>
      </c>
      <c r="E19" s="29">
        <v>542</v>
      </c>
      <c r="F19" s="29">
        <v>406</v>
      </c>
      <c r="G19" s="29">
        <v>542</v>
      </c>
      <c r="H19" s="30">
        <f t="shared" si="0"/>
        <v>95392</v>
      </c>
    </row>
    <row r="20" spans="1:8" x14ac:dyDescent="0.35">
      <c r="A20" s="8" t="s">
        <v>62</v>
      </c>
      <c r="B20" s="29">
        <v>2960</v>
      </c>
      <c r="C20" s="29">
        <v>4440</v>
      </c>
      <c r="D20" s="29">
        <v>5550</v>
      </c>
      <c r="E20" s="29">
        <v>74</v>
      </c>
      <c r="F20" s="29">
        <v>55</v>
      </c>
      <c r="G20" s="29">
        <v>74</v>
      </c>
      <c r="H20" s="30">
        <f t="shared" si="0"/>
        <v>13024</v>
      </c>
    </row>
    <row r="21" spans="1:8" x14ac:dyDescent="0.35">
      <c r="A21" s="5" t="s">
        <v>63</v>
      </c>
      <c r="B21" s="29">
        <v>1600</v>
      </c>
      <c r="C21" s="29">
        <v>2400</v>
      </c>
      <c r="D21" s="29">
        <v>3000</v>
      </c>
      <c r="E21" s="29">
        <v>40</v>
      </c>
      <c r="F21" s="29">
        <v>30</v>
      </c>
      <c r="G21" s="29">
        <v>40</v>
      </c>
      <c r="H21" s="30">
        <f t="shared" si="0"/>
        <v>7040</v>
      </c>
    </row>
    <row r="22" spans="1:8" x14ac:dyDescent="0.35">
      <c r="A22" s="8" t="s">
        <v>64</v>
      </c>
      <c r="B22" s="29">
        <v>560</v>
      </c>
      <c r="C22" s="29">
        <v>840</v>
      </c>
      <c r="D22" s="29">
        <v>1050</v>
      </c>
      <c r="E22" s="29">
        <v>14</v>
      </c>
      <c r="F22" s="29">
        <v>10</v>
      </c>
      <c r="G22" s="29">
        <v>14</v>
      </c>
      <c r="H22" s="30">
        <f t="shared" si="0"/>
        <v>2464</v>
      </c>
    </row>
    <row r="23" spans="1:8" x14ac:dyDescent="0.35">
      <c r="A23" s="5" t="s">
        <v>65</v>
      </c>
      <c r="B23" s="29">
        <v>880</v>
      </c>
      <c r="C23" s="29">
        <v>1320</v>
      </c>
      <c r="D23" s="29">
        <v>1650</v>
      </c>
      <c r="E23" s="29">
        <v>22</v>
      </c>
      <c r="F23" s="29">
        <v>16</v>
      </c>
      <c r="G23" s="29">
        <v>22</v>
      </c>
      <c r="H23" s="30">
        <f t="shared" si="0"/>
        <v>3872</v>
      </c>
    </row>
    <row r="24" spans="1:8" x14ac:dyDescent="0.35">
      <c r="A24" s="8" t="s">
        <v>66</v>
      </c>
      <c r="B24" s="29">
        <v>76239</v>
      </c>
      <c r="C24" s="29">
        <v>114359</v>
      </c>
      <c r="D24" s="29">
        <v>142949</v>
      </c>
      <c r="E24" s="29">
        <v>1905</v>
      </c>
      <c r="F24" s="29">
        <v>1429</v>
      </c>
      <c r="G24" s="29">
        <v>1905</v>
      </c>
      <c r="H24" s="30">
        <f t="shared" si="0"/>
        <v>335452</v>
      </c>
    </row>
    <row r="25" spans="1:8" x14ac:dyDescent="0.35">
      <c r="A25" s="5" t="s">
        <v>67</v>
      </c>
      <c r="B25" s="29">
        <v>16239</v>
      </c>
      <c r="C25" s="29">
        <v>24359</v>
      </c>
      <c r="D25" s="29">
        <v>30449</v>
      </c>
      <c r="E25" s="29">
        <v>405</v>
      </c>
      <c r="F25" s="29">
        <v>304</v>
      </c>
      <c r="G25" s="29">
        <v>405</v>
      </c>
      <c r="H25" s="30">
        <f t="shared" si="0"/>
        <v>71452</v>
      </c>
    </row>
    <row r="26" spans="1:8" x14ac:dyDescent="0.35">
      <c r="A26" s="8" t="s">
        <v>68</v>
      </c>
      <c r="B26" s="29">
        <v>9119</v>
      </c>
      <c r="C26" s="29">
        <v>13679</v>
      </c>
      <c r="D26" s="29">
        <v>17099</v>
      </c>
      <c r="E26" s="29">
        <v>227</v>
      </c>
      <c r="F26" s="29">
        <v>170</v>
      </c>
      <c r="G26" s="29">
        <v>227</v>
      </c>
      <c r="H26" s="30">
        <f t="shared" si="0"/>
        <v>40124</v>
      </c>
    </row>
    <row r="27" spans="1:8" x14ac:dyDescent="0.35">
      <c r="A27" s="5" t="s">
        <v>69</v>
      </c>
      <c r="B27" s="29">
        <v>80</v>
      </c>
      <c r="C27" s="29">
        <v>120</v>
      </c>
      <c r="D27" s="29">
        <v>150</v>
      </c>
      <c r="E27" s="29">
        <v>2</v>
      </c>
      <c r="F27" s="29">
        <v>1</v>
      </c>
      <c r="G27" s="29">
        <v>2</v>
      </c>
      <c r="H27" s="30">
        <f t="shared" si="0"/>
        <v>352</v>
      </c>
    </row>
    <row r="28" spans="1:8" x14ac:dyDescent="0.35">
      <c r="A28" s="8" t="s">
        <v>70</v>
      </c>
      <c r="B28" s="29">
        <v>21360</v>
      </c>
      <c r="C28" s="29">
        <v>32040</v>
      </c>
      <c r="D28" s="29">
        <v>40050</v>
      </c>
      <c r="E28" s="29">
        <v>534</v>
      </c>
      <c r="F28" s="29">
        <v>400</v>
      </c>
      <c r="G28" s="29">
        <v>534</v>
      </c>
      <c r="H28" s="30">
        <f t="shared" si="0"/>
        <v>93984</v>
      </c>
    </row>
    <row r="29" spans="1:8" x14ac:dyDescent="0.35">
      <c r="A29" s="5" t="s">
        <v>71</v>
      </c>
      <c r="B29" s="19">
        <v>10000</v>
      </c>
      <c r="C29" s="19">
        <v>240000</v>
      </c>
      <c r="D29" s="19">
        <v>322000</v>
      </c>
      <c r="E29" s="19">
        <v>0</v>
      </c>
      <c r="F29" s="19">
        <v>2500</v>
      </c>
      <c r="G29" s="19">
        <v>1200</v>
      </c>
      <c r="H29" s="30">
        <f t="shared" si="0"/>
        <v>572000</v>
      </c>
    </row>
    <row r="30" spans="1:8" x14ac:dyDescent="0.35">
      <c r="A30" s="8" t="s">
        <v>72</v>
      </c>
      <c r="B30" s="29">
        <v>7120</v>
      </c>
      <c r="C30" s="29">
        <v>10680</v>
      </c>
      <c r="D30" s="29">
        <v>13350</v>
      </c>
      <c r="E30" s="29">
        <v>178</v>
      </c>
      <c r="F30" s="29">
        <v>133</v>
      </c>
      <c r="G30" s="29">
        <v>178</v>
      </c>
      <c r="H30" s="30">
        <f t="shared" si="0"/>
        <v>31328</v>
      </c>
    </row>
    <row r="31" spans="1:8" x14ac:dyDescent="0.35">
      <c r="A31" s="5" t="s">
        <v>73</v>
      </c>
      <c r="B31" s="29">
        <v>800</v>
      </c>
      <c r="C31" s="29">
        <v>1200</v>
      </c>
      <c r="D31" s="29">
        <v>1500</v>
      </c>
      <c r="E31" s="29">
        <v>20</v>
      </c>
      <c r="F31" s="29">
        <v>15</v>
      </c>
      <c r="G31" s="29">
        <v>20</v>
      </c>
      <c r="H31" s="30">
        <f t="shared" si="0"/>
        <v>3520</v>
      </c>
    </row>
    <row r="32" spans="1:8" x14ac:dyDescent="0.35">
      <c r="A32" s="8" t="s">
        <v>74</v>
      </c>
      <c r="B32" s="29">
        <v>106480</v>
      </c>
      <c r="C32" s="29">
        <v>159720</v>
      </c>
      <c r="D32" s="29">
        <v>199650</v>
      </c>
      <c r="E32" s="29">
        <v>2662</v>
      </c>
      <c r="F32" s="29">
        <v>1996</v>
      </c>
      <c r="G32" s="29">
        <v>2662</v>
      </c>
      <c r="H32" s="30">
        <f t="shared" si="0"/>
        <v>468512</v>
      </c>
    </row>
    <row r="33" spans="1:8" x14ac:dyDescent="0.35">
      <c r="A33" s="5" t="s">
        <v>75</v>
      </c>
      <c r="B33" s="29">
        <v>160560</v>
      </c>
      <c r="C33" s="29">
        <v>240840</v>
      </c>
      <c r="D33" s="29">
        <v>301050</v>
      </c>
      <c r="E33" s="29">
        <v>4014</v>
      </c>
      <c r="F33" s="29">
        <v>3010</v>
      </c>
      <c r="G33" s="29">
        <v>4014</v>
      </c>
      <c r="H33" s="30">
        <f t="shared" si="0"/>
        <v>706464</v>
      </c>
    </row>
    <row r="34" spans="1:8" x14ac:dyDescent="0.35">
      <c r="A34" s="8" t="s">
        <v>76</v>
      </c>
      <c r="B34" s="29">
        <v>80</v>
      </c>
      <c r="C34" s="29">
        <v>120</v>
      </c>
      <c r="D34" s="29">
        <v>150</v>
      </c>
      <c r="E34" s="29">
        <v>2</v>
      </c>
      <c r="F34" s="29">
        <v>1</v>
      </c>
      <c r="G34" s="29">
        <v>2</v>
      </c>
      <c r="H34" s="30">
        <f t="shared" si="0"/>
        <v>352</v>
      </c>
    </row>
    <row r="35" spans="1:8" x14ac:dyDescent="0.35">
      <c r="A35" s="5" t="s">
        <v>77</v>
      </c>
      <c r="B35" s="29">
        <v>0</v>
      </c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30">
        <f t="shared" si="0"/>
        <v>0</v>
      </c>
    </row>
    <row r="36" spans="1:8" x14ac:dyDescent="0.35">
      <c r="A36" s="8" t="s">
        <v>78</v>
      </c>
      <c r="B36" s="29">
        <v>0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30">
        <f t="shared" si="0"/>
        <v>0</v>
      </c>
    </row>
    <row r="37" spans="1:8" x14ac:dyDescent="0.35">
      <c r="A37" s="5" t="s">
        <v>79</v>
      </c>
      <c r="B37" s="29">
        <v>80</v>
      </c>
      <c r="C37" s="29">
        <v>120</v>
      </c>
      <c r="D37" s="29">
        <v>150</v>
      </c>
      <c r="E37" s="29">
        <v>2</v>
      </c>
      <c r="F37" s="29">
        <v>1</v>
      </c>
      <c r="G37" s="29">
        <v>2</v>
      </c>
      <c r="H37" s="30">
        <f t="shared" si="0"/>
        <v>352</v>
      </c>
    </row>
    <row r="38" spans="1:8" x14ac:dyDescent="0.35">
      <c r="A38" s="8" t="s">
        <v>80</v>
      </c>
      <c r="B38" s="29">
        <v>0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f t="shared" si="0"/>
        <v>0</v>
      </c>
    </row>
    <row r="39" spans="1:8" x14ac:dyDescent="0.35">
      <c r="A39" s="5" t="s">
        <v>81</v>
      </c>
      <c r="B39" s="29">
        <v>0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30">
        <f t="shared" si="0"/>
        <v>0</v>
      </c>
    </row>
    <row r="40" spans="1:8" x14ac:dyDescent="0.35">
      <c r="A40" s="8" t="s">
        <v>82</v>
      </c>
      <c r="B40" s="29">
        <v>480</v>
      </c>
      <c r="C40" s="29">
        <v>720</v>
      </c>
      <c r="D40" s="29">
        <v>900</v>
      </c>
      <c r="E40" s="29">
        <v>12</v>
      </c>
      <c r="F40" s="29">
        <v>9</v>
      </c>
      <c r="G40" s="29">
        <v>12</v>
      </c>
      <c r="H40" s="30">
        <f t="shared" si="0"/>
        <v>2112</v>
      </c>
    </row>
    <row r="41" spans="1:8" x14ac:dyDescent="0.35">
      <c r="A41" s="25" t="s">
        <v>83</v>
      </c>
      <c r="B41" s="26">
        <f t="shared" ref="B41:H41" si="1">SUM(B5:B40)</f>
        <v>1184555</v>
      </c>
      <c r="C41" s="26">
        <f t="shared" si="1"/>
        <v>2001835</v>
      </c>
      <c r="D41" s="26">
        <f t="shared" si="1"/>
        <v>2524295</v>
      </c>
      <c r="E41" s="26">
        <f t="shared" si="1"/>
        <v>29359</v>
      </c>
      <c r="F41" s="26">
        <f t="shared" si="1"/>
        <v>24509</v>
      </c>
      <c r="G41" s="26">
        <f t="shared" si="1"/>
        <v>30559</v>
      </c>
      <c r="H41" s="26">
        <f t="shared" si="1"/>
        <v>5740044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4" customWidth="1"/>
    <col min="2" max="2" width="15" customWidth="1"/>
    <col min="3" max="3" width="18" customWidth="1"/>
    <col min="4" max="4" width="15" customWidth="1"/>
    <col min="5" max="5" width="16" customWidth="1"/>
    <col min="6" max="6" width="23" customWidth="1"/>
    <col min="7" max="7" width="15" customWidth="1"/>
  </cols>
  <sheetData>
    <row r="1" spans="1:7" ht="21" x14ac:dyDescent="0.5">
      <c r="A1" s="2" t="s">
        <v>94</v>
      </c>
    </row>
    <row r="2" spans="1:7" ht="15.5" x14ac:dyDescent="0.35">
      <c r="A2" s="3" t="s">
        <v>95</v>
      </c>
    </row>
    <row r="4" spans="1:7" x14ac:dyDescent="0.35">
      <c r="A4" s="17" t="s">
        <v>39</v>
      </c>
      <c r="B4" s="17" t="s">
        <v>96</v>
      </c>
      <c r="C4" s="17" t="s">
        <v>97</v>
      </c>
      <c r="D4" s="17" t="s">
        <v>98</v>
      </c>
      <c r="E4" s="17" t="s">
        <v>99</v>
      </c>
      <c r="F4" s="17" t="s">
        <v>100</v>
      </c>
      <c r="G4" s="17" t="s">
        <v>101</v>
      </c>
    </row>
    <row r="5" spans="1:7" x14ac:dyDescent="0.35">
      <c r="A5" s="5" t="s">
        <v>46</v>
      </c>
      <c r="B5" s="29">
        <v>586</v>
      </c>
      <c r="C5" s="29">
        <v>733</v>
      </c>
      <c r="D5" s="29">
        <v>97</v>
      </c>
      <c r="E5" s="29">
        <v>195</v>
      </c>
      <c r="F5" s="29">
        <v>48</v>
      </c>
      <c r="G5" s="29">
        <v>293</v>
      </c>
    </row>
    <row r="6" spans="1:7" x14ac:dyDescent="0.35">
      <c r="A6" s="8" t="s">
        <v>48</v>
      </c>
      <c r="B6" s="29">
        <v>1</v>
      </c>
      <c r="C6" s="29">
        <v>1</v>
      </c>
      <c r="D6" s="29">
        <v>0</v>
      </c>
      <c r="E6" s="29">
        <v>0</v>
      </c>
      <c r="F6" s="29">
        <v>0</v>
      </c>
      <c r="G6" s="29">
        <v>0</v>
      </c>
    </row>
    <row r="7" spans="1:7" x14ac:dyDescent="0.35">
      <c r="A7" s="5" t="s">
        <v>49</v>
      </c>
      <c r="B7" s="29">
        <v>63</v>
      </c>
      <c r="C7" s="29">
        <v>79</v>
      </c>
      <c r="D7" s="29">
        <v>10</v>
      </c>
      <c r="E7" s="29">
        <v>21</v>
      </c>
      <c r="F7" s="29">
        <v>0</v>
      </c>
      <c r="G7" s="29">
        <v>31</v>
      </c>
    </row>
    <row r="8" spans="1:7" x14ac:dyDescent="0.35">
      <c r="A8" s="8" t="s">
        <v>50</v>
      </c>
      <c r="B8" s="29">
        <v>115</v>
      </c>
      <c r="C8" s="29">
        <v>144</v>
      </c>
      <c r="D8" s="29">
        <v>19</v>
      </c>
      <c r="E8" s="29">
        <v>38</v>
      </c>
      <c r="F8" s="29">
        <v>0</v>
      </c>
      <c r="G8" s="29">
        <v>57</v>
      </c>
    </row>
    <row r="9" spans="1:7" x14ac:dyDescent="0.35">
      <c r="A9" s="5" t="s">
        <v>51</v>
      </c>
      <c r="B9" s="29">
        <v>104</v>
      </c>
      <c r="C9" s="29">
        <v>130</v>
      </c>
      <c r="D9" s="29">
        <v>17</v>
      </c>
      <c r="E9" s="29">
        <v>34</v>
      </c>
      <c r="F9" s="29">
        <v>0</v>
      </c>
      <c r="G9" s="29">
        <v>52</v>
      </c>
    </row>
    <row r="10" spans="1:7" x14ac:dyDescent="0.35">
      <c r="A10" s="8" t="s">
        <v>52</v>
      </c>
      <c r="B10" s="29">
        <v>1</v>
      </c>
      <c r="C10" s="29">
        <v>1</v>
      </c>
      <c r="D10" s="29">
        <v>0</v>
      </c>
      <c r="E10" s="29">
        <v>0</v>
      </c>
      <c r="F10" s="29">
        <v>0</v>
      </c>
      <c r="G10" s="29">
        <v>0</v>
      </c>
    </row>
    <row r="11" spans="1:7" x14ac:dyDescent="0.35">
      <c r="A11" s="5" t="s">
        <v>53</v>
      </c>
      <c r="B11" s="29">
        <v>33</v>
      </c>
      <c r="C11" s="29">
        <v>41</v>
      </c>
      <c r="D11" s="29">
        <v>5</v>
      </c>
      <c r="E11" s="29">
        <v>11</v>
      </c>
      <c r="F11" s="29">
        <v>2</v>
      </c>
      <c r="G11" s="29">
        <v>16</v>
      </c>
    </row>
    <row r="12" spans="1:7" x14ac:dyDescent="0.35">
      <c r="A12" s="8" t="s">
        <v>54</v>
      </c>
      <c r="B12" s="29">
        <v>27</v>
      </c>
      <c r="C12" s="29">
        <v>34</v>
      </c>
      <c r="D12" s="29">
        <v>4</v>
      </c>
      <c r="E12" s="29">
        <v>9</v>
      </c>
      <c r="F12" s="29">
        <v>0</v>
      </c>
      <c r="G12" s="29">
        <v>13</v>
      </c>
    </row>
    <row r="13" spans="1:7" x14ac:dyDescent="0.35">
      <c r="A13" s="5" t="s">
        <v>55</v>
      </c>
      <c r="B13" s="29">
        <v>2</v>
      </c>
      <c r="C13" s="29">
        <v>2</v>
      </c>
      <c r="D13" s="29">
        <v>0</v>
      </c>
      <c r="E13" s="29">
        <v>0</v>
      </c>
      <c r="F13" s="29">
        <v>0</v>
      </c>
      <c r="G13" s="29">
        <v>1</v>
      </c>
    </row>
    <row r="14" spans="1:7" x14ac:dyDescent="0.35">
      <c r="A14" s="8" t="s">
        <v>56</v>
      </c>
      <c r="B14" s="29">
        <v>3</v>
      </c>
      <c r="C14" s="29">
        <v>4</v>
      </c>
      <c r="D14" s="29">
        <v>0</v>
      </c>
      <c r="E14" s="29">
        <v>1</v>
      </c>
      <c r="F14" s="29">
        <v>0</v>
      </c>
      <c r="G14" s="29">
        <v>1</v>
      </c>
    </row>
    <row r="15" spans="1:7" x14ac:dyDescent="0.35">
      <c r="A15" s="5" t="s">
        <v>57</v>
      </c>
      <c r="B15" s="29">
        <v>43</v>
      </c>
      <c r="C15" s="29">
        <v>54</v>
      </c>
      <c r="D15" s="29">
        <v>7</v>
      </c>
      <c r="E15" s="29">
        <v>14</v>
      </c>
      <c r="F15" s="29">
        <v>0</v>
      </c>
      <c r="G15" s="29">
        <v>21</v>
      </c>
    </row>
    <row r="16" spans="1:7" x14ac:dyDescent="0.35">
      <c r="A16" s="8" t="s">
        <v>58</v>
      </c>
      <c r="B16" s="29">
        <v>52</v>
      </c>
      <c r="C16" s="29">
        <v>65</v>
      </c>
      <c r="D16" s="29">
        <v>8</v>
      </c>
      <c r="E16" s="29">
        <v>17</v>
      </c>
      <c r="F16" s="29">
        <v>4</v>
      </c>
      <c r="G16" s="29">
        <v>26</v>
      </c>
    </row>
    <row r="17" spans="1:7" x14ac:dyDescent="0.35">
      <c r="A17" s="5" t="s">
        <v>59</v>
      </c>
      <c r="B17" s="29">
        <v>33</v>
      </c>
      <c r="C17" s="29">
        <v>42</v>
      </c>
      <c r="D17" s="29">
        <v>5</v>
      </c>
      <c r="E17" s="29">
        <v>11</v>
      </c>
      <c r="F17" s="29">
        <v>2</v>
      </c>
      <c r="G17" s="29">
        <v>16</v>
      </c>
    </row>
    <row r="18" spans="1:7" x14ac:dyDescent="0.35">
      <c r="A18" s="8" t="s">
        <v>60</v>
      </c>
      <c r="B18" s="29">
        <v>53</v>
      </c>
      <c r="C18" s="29">
        <v>66</v>
      </c>
      <c r="D18" s="29">
        <v>8</v>
      </c>
      <c r="E18" s="29">
        <v>17</v>
      </c>
      <c r="F18" s="29">
        <v>0</v>
      </c>
      <c r="G18" s="29">
        <v>26</v>
      </c>
    </row>
    <row r="19" spans="1:7" x14ac:dyDescent="0.35">
      <c r="A19" s="5" t="s">
        <v>61</v>
      </c>
      <c r="B19" s="29">
        <v>32</v>
      </c>
      <c r="C19" s="29">
        <v>40</v>
      </c>
      <c r="D19" s="29">
        <v>5</v>
      </c>
      <c r="E19" s="29">
        <v>10</v>
      </c>
      <c r="F19" s="29">
        <v>2</v>
      </c>
      <c r="G19" s="29">
        <v>16</v>
      </c>
    </row>
    <row r="20" spans="1:7" x14ac:dyDescent="0.35">
      <c r="A20" s="8" t="s">
        <v>62</v>
      </c>
      <c r="B20" s="29">
        <v>4</v>
      </c>
      <c r="C20" s="29">
        <v>5</v>
      </c>
      <c r="D20" s="29">
        <v>0</v>
      </c>
      <c r="E20" s="29">
        <v>1</v>
      </c>
      <c r="F20" s="29">
        <v>0</v>
      </c>
      <c r="G20" s="29">
        <v>2</v>
      </c>
    </row>
    <row r="21" spans="1:7" x14ac:dyDescent="0.35">
      <c r="A21" s="5" t="s">
        <v>63</v>
      </c>
      <c r="B21" s="29">
        <v>2</v>
      </c>
      <c r="C21" s="29">
        <v>3</v>
      </c>
      <c r="D21" s="29">
        <v>0</v>
      </c>
      <c r="E21" s="29">
        <v>0</v>
      </c>
      <c r="F21" s="29">
        <v>0</v>
      </c>
      <c r="G21" s="29">
        <v>1</v>
      </c>
    </row>
    <row r="22" spans="1:7" x14ac:dyDescent="0.35">
      <c r="A22" s="8" t="s">
        <v>64</v>
      </c>
      <c r="B22" s="29">
        <v>0</v>
      </c>
      <c r="C22" s="29">
        <v>1</v>
      </c>
      <c r="D22" s="29">
        <v>0</v>
      </c>
      <c r="E22" s="29">
        <v>0</v>
      </c>
      <c r="F22" s="29">
        <v>0</v>
      </c>
      <c r="G22" s="29">
        <v>0</v>
      </c>
    </row>
    <row r="23" spans="1:7" x14ac:dyDescent="0.35">
      <c r="A23" s="5" t="s">
        <v>65</v>
      </c>
      <c r="B23" s="29">
        <v>1</v>
      </c>
      <c r="C23" s="29">
        <v>1</v>
      </c>
      <c r="D23" s="29">
        <v>0</v>
      </c>
      <c r="E23" s="29">
        <v>0</v>
      </c>
      <c r="F23" s="29">
        <v>0</v>
      </c>
      <c r="G23" s="29">
        <v>0</v>
      </c>
    </row>
    <row r="24" spans="1:7" x14ac:dyDescent="0.35">
      <c r="A24" s="8" t="s">
        <v>66</v>
      </c>
      <c r="B24" s="29">
        <v>114</v>
      </c>
      <c r="C24" s="29">
        <v>142</v>
      </c>
      <c r="D24" s="29">
        <v>19</v>
      </c>
      <c r="E24" s="29">
        <v>38</v>
      </c>
      <c r="F24" s="29">
        <v>0</v>
      </c>
      <c r="G24" s="29">
        <v>57</v>
      </c>
    </row>
    <row r="25" spans="1:7" x14ac:dyDescent="0.35">
      <c r="A25" s="5" t="s">
        <v>67</v>
      </c>
      <c r="B25" s="29">
        <v>24</v>
      </c>
      <c r="C25" s="29">
        <v>30</v>
      </c>
      <c r="D25" s="29">
        <v>4</v>
      </c>
      <c r="E25" s="29">
        <v>8</v>
      </c>
      <c r="F25" s="29">
        <v>0</v>
      </c>
      <c r="G25" s="29">
        <v>12</v>
      </c>
    </row>
    <row r="26" spans="1:7" x14ac:dyDescent="0.35">
      <c r="A26" s="8" t="s">
        <v>68</v>
      </c>
      <c r="B26" s="29">
        <v>13</v>
      </c>
      <c r="C26" s="29">
        <v>17</v>
      </c>
      <c r="D26" s="29">
        <v>2</v>
      </c>
      <c r="E26" s="29">
        <v>4</v>
      </c>
      <c r="F26" s="29">
        <v>0</v>
      </c>
      <c r="G26" s="29">
        <v>6</v>
      </c>
    </row>
    <row r="27" spans="1:7" x14ac:dyDescent="0.35">
      <c r="A27" s="5" t="s">
        <v>69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</row>
    <row r="28" spans="1:7" x14ac:dyDescent="0.35">
      <c r="A28" s="8" t="s">
        <v>70</v>
      </c>
      <c r="B28" s="29">
        <v>32</v>
      </c>
      <c r="C28" s="29">
        <v>40</v>
      </c>
      <c r="D28" s="29">
        <v>5</v>
      </c>
      <c r="E28" s="29">
        <v>10</v>
      </c>
      <c r="F28" s="29">
        <v>2</v>
      </c>
      <c r="G28" s="29">
        <v>16</v>
      </c>
    </row>
    <row r="29" spans="1:7" x14ac:dyDescent="0.35">
      <c r="A29" s="5" t="s">
        <v>71</v>
      </c>
      <c r="B29" s="19">
        <v>21</v>
      </c>
      <c r="C29" s="19">
        <v>14</v>
      </c>
      <c r="D29" s="19">
        <v>5</v>
      </c>
      <c r="E29" s="19">
        <v>10</v>
      </c>
      <c r="F29" s="19">
        <v>0</v>
      </c>
      <c r="G29" s="19">
        <v>10</v>
      </c>
    </row>
    <row r="30" spans="1:7" x14ac:dyDescent="0.35">
      <c r="A30" s="8" t="s">
        <v>72</v>
      </c>
      <c r="B30" s="29">
        <v>10</v>
      </c>
      <c r="C30" s="29">
        <v>13</v>
      </c>
      <c r="D30" s="29">
        <v>1</v>
      </c>
      <c r="E30" s="29">
        <v>3</v>
      </c>
      <c r="F30" s="29">
        <v>0</v>
      </c>
      <c r="G30" s="29">
        <v>5</v>
      </c>
    </row>
    <row r="31" spans="1:7" x14ac:dyDescent="0.35">
      <c r="A31" s="5" t="s">
        <v>73</v>
      </c>
      <c r="B31" s="29">
        <v>1</v>
      </c>
      <c r="C31" s="29">
        <v>1</v>
      </c>
      <c r="D31" s="29">
        <v>0</v>
      </c>
      <c r="E31" s="29">
        <v>0</v>
      </c>
      <c r="F31" s="29">
        <v>0</v>
      </c>
      <c r="G31" s="29">
        <v>0</v>
      </c>
    </row>
    <row r="32" spans="1:7" x14ac:dyDescent="0.35">
      <c r="A32" s="8" t="s">
        <v>74</v>
      </c>
      <c r="B32" s="29">
        <v>159</v>
      </c>
      <c r="C32" s="29">
        <v>199</v>
      </c>
      <c r="D32" s="29">
        <v>26</v>
      </c>
      <c r="E32" s="29">
        <v>53</v>
      </c>
      <c r="F32" s="29">
        <v>0</v>
      </c>
      <c r="G32" s="29">
        <v>79</v>
      </c>
    </row>
    <row r="33" spans="1:7" x14ac:dyDescent="0.35">
      <c r="A33" s="5" t="s">
        <v>75</v>
      </c>
      <c r="B33" s="29">
        <v>240</v>
      </c>
      <c r="C33" s="29">
        <v>301</v>
      </c>
      <c r="D33" s="29">
        <v>40</v>
      </c>
      <c r="E33" s="29">
        <v>80</v>
      </c>
      <c r="F33" s="29">
        <v>20</v>
      </c>
      <c r="G33" s="29">
        <v>120</v>
      </c>
    </row>
    <row r="34" spans="1:7" x14ac:dyDescent="0.35">
      <c r="A34" s="8" t="s">
        <v>76</v>
      </c>
      <c r="B34" s="29">
        <v>0</v>
      </c>
      <c r="C34" s="29">
        <v>0</v>
      </c>
      <c r="D34" s="29">
        <v>0</v>
      </c>
      <c r="E34" s="29">
        <v>0</v>
      </c>
      <c r="F34" s="29">
        <v>0</v>
      </c>
      <c r="G34" s="29">
        <v>0</v>
      </c>
    </row>
    <row r="35" spans="1:7" x14ac:dyDescent="0.35">
      <c r="A35" s="5" t="s">
        <v>77</v>
      </c>
      <c r="B35" s="29">
        <v>0</v>
      </c>
      <c r="C35" s="29">
        <v>0</v>
      </c>
      <c r="D35" s="29">
        <v>0</v>
      </c>
      <c r="E35" s="29">
        <v>0</v>
      </c>
      <c r="F35" s="29">
        <v>0</v>
      </c>
      <c r="G35" s="29">
        <v>0</v>
      </c>
    </row>
    <row r="36" spans="1:7" x14ac:dyDescent="0.35">
      <c r="A36" s="8" t="s">
        <v>78</v>
      </c>
      <c r="B36" s="29">
        <v>0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</row>
    <row r="37" spans="1:7" x14ac:dyDescent="0.35">
      <c r="A37" s="5" t="s">
        <v>79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</row>
    <row r="38" spans="1:7" x14ac:dyDescent="0.35">
      <c r="A38" s="8" t="s">
        <v>80</v>
      </c>
      <c r="B38" s="29">
        <v>0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</row>
    <row r="39" spans="1:7" x14ac:dyDescent="0.35">
      <c r="A39" s="5" t="s">
        <v>81</v>
      </c>
      <c r="B39" s="29">
        <v>0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</row>
    <row r="40" spans="1:7" x14ac:dyDescent="0.35">
      <c r="A40" s="8" t="s">
        <v>82</v>
      </c>
      <c r="B40" s="29">
        <v>0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</row>
    <row r="41" spans="1:7" x14ac:dyDescent="0.35">
      <c r="A41" s="25" t="s">
        <v>83</v>
      </c>
      <c r="B41" s="26">
        <f t="shared" ref="B41:G41" si="0">SUM(B5:B40)</f>
        <v>1769</v>
      </c>
      <c r="C41" s="26">
        <f t="shared" si="0"/>
        <v>2203</v>
      </c>
      <c r="D41" s="26">
        <f t="shared" si="0"/>
        <v>287</v>
      </c>
      <c r="E41" s="26">
        <f t="shared" si="0"/>
        <v>585</v>
      </c>
      <c r="F41" s="26">
        <f t="shared" si="0"/>
        <v>80</v>
      </c>
      <c r="G41" s="26">
        <f t="shared" si="0"/>
        <v>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1.54296875" customWidth="1"/>
    <col min="2" max="2" width="14" customWidth="1"/>
    <col min="3" max="3" width="37" customWidth="1"/>
    <col min="4" max="4" width="39" customWidth="1"/>
    <col min="5" max="5" width="33" customWidth="1"/>
    <col min="6" max="6" width="34" customWidth="1"/>
  </cols>
  <sheetData>
    <row r="1" spans="1:6" ht="21" x14ac:dyDescent="0.5">
      <c r="A1" s="2" t="s">
        <v>102</v>
      </c>
    </row>
    <row r="2" spans="1:6" ht="15.5" x14ac:dyDescent="0.35">
      <c r="A2" s="3" t="s">
        <v>103</v>
      </c>
    </row>
    <row r="4" spans="1:6" x14ac:dyDescent="0.35">
      <c r="A4" s="17" t="s">
        <v>39</v>
      </c>
      <c r="B4" s="17" t="s">
        <v>40</v>
      </c>
      <c r="C4" s="17" t="s">
        <v>104</v>
      </c>
      <c r="D4" s="17" t="s">
        <v>105</v>
      </c>
      <c r="E4" s="17" t="s">
        <v>106</v>
      </c>
      <c r="F4" s="17" t="s">
        <v>107</v>
      </c>
    </row>
    <row r="5" spans="1:6" x14ac:dyDescent="0.35">
      <c r="A5" s="5" t="s">
        <v>46</v>
      </c>
      <c r="B5" s="18" t="s">
        <v>47</v>
      </c>
      <c r="C5" s="29">
        <v>73320</v>
      </c>
      <c r="D5" s="29">
        <v>97760</v>
      </c>
      <c r="E5" s="29">
        <v>87984</v>
      </c>
      <c r="F5" s="29">
        <v>78208</v>
      </c>
    </row>
    <row r="6" spans="1:6" x14ac:dyDescent="0.35">
      <c r="A6" s="8" t="s">
        <v>48</v>
      </c>
      <c r="B6" s="23" t="s">
        <v>47</v>
      </c>
      <c r="C6" s="29">
        <v>165</v>
      </c>
      <c r="D6" s="29">
        <v>220</v>
      </c>
      <c r="E6" s="29">
        <v>198</v>
      </c>
      <c r="F6" s="29">
        <v>176</v>
      </c>
    </row>
    <row r="7" spans="1:6" x14ac:dyDescent="0.35">
      <c r="A7" s="5" t="s">
        <v>49</v>
      </c>
      <c r="B7" s="18" t="s">
        <v>47</v>
      </c>
      <c r="C7" s="29">
        <v>7935</v>
      </c>
      <c r="D7" s="29">
        <v>10580</v>
      </c>
      <c r="E7" s="29">
        <v>9522</v>
      </c>
      <c r="F7" s="29">
        <v>8464</v>
      </c>
    </row>
    <row r="8" spans="1:6" x14ac:dyDescent="0.35">
      <c r="A8" s="8" t="s">
        <v>50</v>
      </c>
      <c r="B8" s="23" t="s">
        <v>47</v>
      </c>
      <c r="C8" s="29">
        <v>14400</v>
      </c>
      <c r="D8" s="29">
        <v>19200</v>
      </c>
      <c r="E8" s="29">
        <v>17280</v>
      </c>
      <c r="F8" s="29">
        <v>15360</v>
      </c>
    </row>
    <row r="9" spans="1:6" x14ac:dyDescent="0.35">
      <c r="A9" s="5" t="s">
        <v>51</v>
      </c>
      <c r="B9" s="18" t="s">
        <v>47</v>
      </c>
      <c r="C9" s="29">
        <v>13095</v>
      </c>
      <c r="D9" s="29">
        <v>17460</v>
      </c>
      <c r="E9" s="29">
        <v>15714</v>
      </c>
      <c r="F9" s="29">
        <v>13968</v>
      </c>
    </row>
    <row r="10" spans="1:6" x14ac:dyDescent="0.35">
      <c r="A10" s="8" t="s">
        <v>52</v>
      </c>
      <c r="B10" s="23" t="s">
        <v>47</v>
      </c>
      <c r="C10" s="29">
        <v>135</v>
      </c>
      <c r="D10" s="29">
        <v>180</v>
      </c>
      <c r="E10" s="29">
        <v>162</v>
      </c>
      <c r="F10" s="29">
        <v>144</v>
      </c>
    </row>
    <row r="11" spans="1:6" x14ac:dyDescent="0.35">
      <c r="A11" s="5" t="s">
        <v>53</v>
      </c>
      <c r="B11" s="18" t="s">
        <v>47</v>
      </c>
      <c r="C11" s="29">
        <v>4170</v>
      </c>
      <c r="D11" s="29">
        <v>5560</v>
      </c>
      <c r="E11" s="29">
        <v>5004</v>
      </c>
      <c r="F11" s="29">
        <v>4448</v>
      </c>
    </row>
    <row r="12" spans="1:6" x14ac:dyDescent="0.35">
      <c r="A12" s="8" t="s">
        <v>54</v>
      </c>
      <c r="B12" s="23" t="s">
        <v>47</v>
      </c>
      <c r="C12" s="29">
        <v>3479</v>
      </c>
      <c r="D12" s="29">
        <v>4639</v>
      </c>
      <c r="E12" s="29">
        <v>4175</v>
      </c>
      <c r="F12" s="29">
        <v>3711</v>
      </c>
    </row>
    <row r="13" spans="1:6" x14ac:dyDescent="0.35">
      <c r="A13" s="5" t="s">
        <v>55</v>
      </c>
      <c r="B13" s="18" t="s">
        <v>47</v>
      </c>
      <c r="C13" s="29">
        <v>285</v>
      </c>
      <c r="D13" s="29">
        <v>380</v>
      </c>
      <c r="E13" s="29">
        <v>342</v>
      </c>
      <c r="F13" s="29">
        <v>304</v>
      </c>
    </row>
    <row r="14" spans="1:6" x14ac:dyDescent="0.35">
      <c r="A14" s="8" t="s">
        <v>56</v>
      </c>
      <c r="B14" s="23" t="s">
        <v>47</v>
      </c>
      <c r="C14" s="29">
        <v>434</v>
      </c>
      <c r="D14" s="29">
        <v>579</v>
      </c>
      <c r="E14" s="29">
        <v>521</v>
      </c>
      <c r="F14" s="29">
        <v>463</v>
      </c>
    </row>
    <row r="15" spans="1:6" x14ac:dyDescent="0.35">
      <c r="A15" s="5" t="s">
        <v>57</v>
      </c>
      <c r="B15" s="18" t="s">
        <v>47</v>
      </c>
      <c r="C15" s="29">
        <v>5445</v>
      </c>
      <c r="D15" s="29">
        <v>7260</v>
      </c>
      <c r="E15" s="29">
        <v>6534</v>
      </c>
      <c r="F15" s="29">
        <v>5808</v>
      </c>
    </row>
    <row r="16" spans="1:6" x14ac:dyDescent="0.35">
      <c r="A16" s="8" t="s">
        <v>58</v>
      </c>
      <c r="B16" s="23" t="s">
        <v>47</v>
      </c>
      <c r="C16" s="29">
        <v>6555</v>
      </c>
      <c r="D16" s="29">
        <v>8740</v>
      </c>
      <c r="E16" s="29">
        <v>7866</v>
      </c>
      <c r="F16" s="29">
        <v>6992</v>
      </c>
    </row>
    <row r="17" spans="1:6" x14ac:dyDescent="0.35">
      <c r="A17" s="5" t="s">
        <v>59</v>
      </c>
      <c r="B17" s="18" t="s">
        <v>47</v>
      </c>
      <c r="C17" s="29">
        <v>4200</v>
      </c>
      <c r="D17" s="29">
        <v>5600</v>
      </c>
      <c r="E17" s="29">
        <v>5040</v>
      </c>
      <c r="F17" s="29">
        <v>4480</v>
      </c>
    </row>
    <row r="18" spans="1:6" x14ac:dyDescent="0.35">
      <c r="A18" s="8" t="s">
        <v>60</v>
      </c>
      <c r="B18" s="23" t="s">
        <v>47</v>
      </c>
      <c r="C18" s="29">
        <v>6675</v>
      </c>
      <c r="D18" s="29">
        <v>8900</v>
      </c>
      <c r="E18" s="29">
        <v>8010</v>
      </c>
      <c r="F18" s="29">
        <v>7120</v>
      </c>
    </row>
    <row r="19" spans="1:6" x14ac:dyDescent="0.35">
      <c r="A19" s="5" t="s">
        <v>61</v>
      </c>
      <c r="B19" s="18" t="s">
        <v>47</v>
      </c>
      <c r="C19" s="29">
        <v>4065</v>
      </c>
      <c r="D19" s="29">
        <v>5420</v>
      </c>
      <c r="E19" s="29">
        <v>4878</v>
      </c>
      <c r="F19" s="29">
        <v>4336</v>
      </c>
    </row>
    <row r="20" spans="1:6" x14ac:dyDescent="0.35">
      <c r="A20" s="8" t="s">
        <v>62</v>
      </c>
      <c r="B20" s="23" t="s">
        <v>47</v>
      </c>
      <c r="C20" s="29">
        <v>555</v>
      </c>
      <c r="D20" s="29">
        <v>740</v>
      </c>
      <c r="E20" s="29">
        <v>666</v>
      </c>
      <c r="F20" s="29">
        <v>592</v>
      </c>
    </row>
    <row r="21" spans="1:6" x14ac:dyDescent="0.35">
      <c r="A21" s="5" t="s">
        <v>63</v>
      </c>
      <c r="B21" s="18" t="s">
        <v>47</v>
      </c>
      <c r="C21" s="29">
        <v>300</v>
      </c>
      <c r="D21" s="29">
        <v>400</v>
      </c>
      <c r="E21" s="29">
        <v>360</v>
      </c>
      <c r="F21" s="29">
        <v>320</v>
      </c>
    </row>
    <row r="22" spans="1:6" x14ac:dyDescent="0.35">
      <c r="A22" s="8" t="s">
        <v>64</v>
      </c>
      <c r="B22" s="23" t="s">
        <v>47</v>
      </c>
      <c r="C22" s="29">
        <v>105</v>
      </c>
      <c r="D22" s="29">
        <v>140</v>
      </c>
      <c r="E22" s="29">
        <v>126</v>
      </c>
      <c r="F22" s="29">
        <v>112</v>
      </c>
    </row>
    <row r="23" spans="1:6" x14ac:dyDescent="0.35">
      <c r="A23" s="5" t="s">
        <v>65</v>
      </c>
      <c r="B23" s="18" t="s">
        <v>47</v>
      </c>
      <c r="C23" s="29">
        <v>165</v>
      </c>
      <c r="D23" s="29">
        <v>220</v>
      </c>
      <c r="E23" s="29">
        <v>198</v>
      </c>
      <c r="F23" s="29">
        <v>176</v>
      </c>
    </row>
    <row r="24" spans="1:6" x14ac:dyDescent="0.35">
      <c r="A24" s="8" t="s">
        <v>66</v>
      </c>
      <c r="B24" s="23" t="s">
        <v>47</v>
      </c>
      <c r="C24" s="29">
        <v>14294</v>
      </c>
      <c r="D24" s="29">
        <v>19059</v>
      </c>
      <c r="E24" s="29">
        <v>17153</v>
      </c>
      <c r="F24" s="29">
        <v>15247</v>
      </c>
    </row>
    <row r="25" spans="1:6" x14ac:dyDescent="0.35">
      <c r="A25" s="5" t="s">
        <v>67</v>
      </c>
      <c r="B25" s="18" t="s">
        <v>47</v>
      </c>
      <c r="C25" s="29">
        <v>3044</v>
      </c>
      <c r="D25" s="29">
        <v>4059</v>
      </c>
      <c r="E25" s="29">
        <v>3653</v>
      </c>
      <c r="F25" s="29">
        <v>3247</v>
      </c>
    </row>
    <row r="26" spans="1:6" x14ac:dyDescent="0.35">
      <c r="A26" s="8" t="s">
        <v>68</v>
      </c>
      <c r="B26" s="23" t="s">
        <v>47</v>
      </c>
      <c r="C26" s="29">
        <v>1709</v>
      </c>
      <c r="D26" s="29">
        <v>2279</v>
      </c>
      <c r="E26" s="29">
        <v>2051</v>
      </c>
      <c r="F26" s="29">
        <v>1823</v>
      </c>
    </row>
    <row r="27" spans="1:6" x14ac:dyDescent="0.35">
      <c r="A27" s="5" t="s">
        <v>69</v>
      </c>
      <c r="B27" s="18" t="s">
        <v>47</v>
      </c>
      <c r="C27" s="29">
        <v>15</v>
      </c>
      <c r="D27" s="29">
        <v>20</v>
      </c>
      <c r="E27" s="29">
        <v>18</v>
      </c>
      <c r="F27" s="29">
        <v>16</v>
      </c>
    </row>
    <row r="28" spans="1:6" x14ac:dyDescent="0.35">
      <c r="A28" s="8" t="s">
        <v>70</v>
      </c>
      <c r="B28" s="23" t="s">
        <v>47</v>
      </c>
      <c r="C28" s="29">
        <v>4005</v>
      </c>
      <c r="D28" s="29">
        <v>5340</v>
      </c>
      <c r="E28" s="29">
        <v>4806</v>
      </c>
      <c r="F28" s="29">
        <v>4272</v>
      </c>
    </row>
    <row r="29" spans="1:6" x14ac:dyDescent="0.35">
      <c r="A29" s="5" t="s">
        <v>71</v>
      </c>
      <c r="B29" s="18" t="s">
        <v>47</v>
      </c>
      <c r="C29" s="19">
        <v>3446</v>
      </c>
      <c r="D29" s="19">
        <v>4200</v>
      </c>
      <c r="E29" s="19">
        <v>3800</v>
      </c>
      <c r="F29" s="19">
        <v>3446</v>
      </c>
    </row>
    <row r="30" spans="1:6" x14ac:dyDescent="0.35">
      <c r="A30" s="8" t="s">
        <v>72</v>
      </c>
      <c r="B30" s="23" t="s">
        <v>47</v>
      </c>
      <c r="C30" s="29">
        <v>1335</v>
      </c>
      <c r="D30" s="29">
        <v>1780</v>
      </c>
      <c r="E30" s="29">
        <v>1602</v>
      </c>
      <c r="F30" s="29">
        <v>1424</v>
      </c>
    </row>
    <row r="31" spans="1:6" x14ac:dyDescent="0.35">
      <c r="A31" s="5" t="s">
        <v>73</v>
      </c>
      <c r="B31" s="18" t="s">
        <v>47</v>
      </c>
      <c r="C31" s="29">
        <v>150</v>
      </c>
      <c r="D31" s="29">
        <v>200</v>
      </c>
      <c r="E31" s="29">
        <v>180</v>
      </c>
      <c r="F31" s="29">
        <v>160</v>
      </c>
    </row>
    <row r="32" spans="1:6" x14ac:dyDescent="0.35">
      <c r="A32" s="8" t="s">
        <v>74</v>
      </c>
      <c r="B32" s="23" t="s">
        <v>47</v>
      </c>
      <c r="C32" s="29">
        <v>19965</v>
      </c>
      <c r="D32" s="29">
        <v>26620</v>
      </c>
      <c r="E32" s="29">
        <v>23958</v>
      </c>
      <c r="F32" s="29">
        <v>21296</v>
      </c>
    </row>
    <row r="33" spans="1:6" x14ac:dyDescent="0.35">
      <c r="A33" s="5" t="s">
        <v>75</v>
      </c>
      <c r="B33" s="18" t="s">
        <v>47</v>
      </c>
      <c r="C33" s="29">
        <v>30105</v>
      </c>
      <c r="D33" s="29">
        <v>40140</v>
      </c>
      <c r="E33" s="29">
        <v>36126</v>
      </c>
      <c r="F33" s="29">
        <v>32112</v>
      </c>
    </row>
    <row r="34" spans="1:6" x14ac:dyDescent="0.35">
      <c r="A34" s="8" t="s">
        <v>76</v>
      </c>
      <c r="B34" s="23" t="s">
        <v>47</v>
      </c>
      <c r="C34" s="29">
        <v>15</v>
      </c>
      <c r="D34" s="29">
        <v>20</v>
      </c>
      <c r="E34" s="29">
        <v>18</v>
      </c>
      <c r="F34" s="29">
        <v>16</v>
      </c>
    </row>
    <row r="35" spans="1:6" x14ac:dyDescent="0.35">
      <c r="A35" s="5" t="s">
        <v>77</v>
      </c>
      <c r="B35" s="18" t="s">
        <v>47</v>
      </c>
      <c r="C35" s="29">
        <v>0</v>
      </c>
      <c r="D35" s="29">
        <v>0</v>
      </c>
      <c r="E35" s="29">
        <v>0</v>
      </c>
      <c r="F35" s="29">
        <v>0</v>
      </c>
    </row>
    <row r="36" spans="1:6" x14ac:dyDescent="0.35">
      <c r="A36" s="8" t="s">
        <v>78</v>
      </c>
      <c r="B36" s="23" t="s">
        <v>47</v>
      </c>
      <c r="C36" s="29">
        <v>0</v>
      </c>
      <c r="D36" s="29">
        <v>0</v>
      </c>
      <c r="E36" s="29">
        <v>0</v>
      </c>
      <c r="F36" s="29">
        <v>0</v>
      </c>
    </row>
    <row r="37" spans="1:6" x14ac:dyDescent="0.35">
      <c r="A37" s="5" t="s">
        <v>79</v>
      </c>
      <c r="B37" s="18" t="s">
        <v>47</v>
      </c>
      <c r="C37" s="29">
        <v>15</v>
      </c>
      <c r="D37" s="29">
        <v>20</v>
      </c>
      <c r="E37" s="29">
        <v>18</v>
      </c>
      <c r="F37" s="29">
        <v>16</v>
      </c>
    </row>
    <row r="38" spans="1:6" x14ac:dyDescent="0.35">
      <c r="A38" s="8" t="s">
        <v>80</v>
      </c>
      <c r="B38" s="23" t="s">
        <v>47</v>
      </c>
      <c r="C38" s="29">
        <v>0</v>
      </c>
      <c r="D38" s="29">
        <v>0</v>
      </c>
      <c r="E38" s="29">
        <v>0</v>
      </c>
      <c r="F38" s="29">
        <v>0</v>
      </c>
    </row>
    <row r="39" spans="1:6" x14ac:dyDescent="0.35">
      <c r="A39" s="5" t="s">
        <v>81</v>
      </c>
      <c r="B39" s="18" t="s">
        <v>47</v>
      </c>
      <c r="C39" s="29">
        <v>0</v>
      </c>
      <c r="D39" s="29">
        <v>0</v>
      </c>
      <c r="E39" s="29">
        <v>0</v>
      </c>
      <c r="F39" s="29">
        <v>0</v>
      </c>
    </row>
    <row r="40" spans="1:6" x14ac:dyDescent="0.35">
      <c r="A40" s="8" t="s">
        <v>82</v>
      </c>
      <c r="B40" s="23" t="s">
        <v>47</v>
      </c>
      <c r="C40" s="29">
        <v>90</v>
      </c>
      <c r="D40" s="29">
        <v>120</v>
      </c>
      <c r="E40" s="29">
        <v>108</v>
      </c>
      <c r="F40" s="29">
        <v>96</v>
      </c>
    </row>
    <row r="41" spans="1:6" x14ac:dyDescent="0.35">
      <c r="A41" s="25" t="s">
        <v>83</v>
      </c>
      <c r="B41" s="25"/>
      <c r="C41" s="26">
        <f>SUM(C5:C40)</f>
        <v>223671</v>
      </c>
      <c r="D41" s="26">
        <f>SUM(D5:D40)</f>
        <v>297835</v>
      </c>
      <c r="E41" s="26">
        <f>SUM(E5:E40)</f>
        <v>268071</v>
      </c>
      <c r="F41" s="26">
        <f>SUM(F5:F40)</f>
        <v>238353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1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5.81640625" customWidth="1"/>
    <col min="2" max="2" width="14" customWidth="1"/>
    <col min="3" max="3" width="20" customWidth="1"/>
    <col min="4" max="7" width="15" customWidth="1"/>
    <col min="8" max="8" width="19" customWidth="1"/>
    <col min="9" max="9" width="16" customWidth="1"/>
    <col min="10" max="10" width="28" customWidth="1"/>
    <col min="11" max="11" width="31" customWidth="1"/>
  </cols>
  <sheetData>
    <row r="1" spans="1:11" ht="21" x14ac:dyDescent="0.5">
      <c r="A1" s="2" t="s">
        <v>108</v>
      </c>
    </row>
    <row r="2" spans="1:11" ht="15.5" x14ac:dyDescent="0.35">
      <c r="A2" s="3" t="s">
        <v>109</v>
      </c>
    </row>
    <row r="4" spans="1:11" x14ac:dyDescent="0.35">
      <c r="A4" s="17" t="s">
        <v>39</v>
      </c>
      <c r="B4" s="17" t="s">
        <v>40</v>
      </c>
      <c r="C4" s="17" t="s">
        <v>110</v>
      </c>
      <c r="D4" s="17" t="s">
        <v>111</v>
      </c>
      <c r="E4" s="17" t="s">
        <v>112</v>
      </c>
      <c r="F4" s="17" t="s">
        <v>113</v>
      </c>
      <c r="G4" s="17" t="s">
        <v>114</v>
      </c>
      <c r="H4" s="17" t="s">
        <v>115</v>
      </c>
      <c r="I4" s="17" t="s">
        <v>116</v>
      </c>
      <c r="J4" s="17" t="s">
        <v>117</v>
      </c>
      <c r="K4" s="17" t="s">
        <v>118</v>
      </c>
    </row>
    <row r="5" spans="1:11" x14ac:dyDescent="0.35">
      <c r="A5" s="5" t="s">
        <v>46</v>
      </c>
      <c r="B5" s="18" t="s">
        <v>47</v>
      </c>
      <c r="C5" s="29">
        <v>2823340</v>
      </c>
      <c r="D5" s="29">
        <v>434360</v>
      </c>
      <c r="E5" s="29">
        <v>244400</v>
      </c>
      <c r="F5" s="29">
        <v>521232</v>
      </c>
      <c r="G5" s="29">
        <v>0</v>
      </c>
      <c r="H5" s="29">
        <v>300000</v>
      </c>
      <c r="I5" s="29">
        <v>564668</v>
      </c>
      <c r="J5" s="30">
        <f t="shared" ref="J5:J40" si="0">SUM(C5:I5)</f>
        <v>4888000</v>
      </c>
      <c r="K5" s="31">
        <f>J5-'Inland Production'!E5</f>
        <v>0</v>
      </c>
    </row>
    <row r="6" spans="1:11" x14ac:dyDescent="0.35">
      <c r="A6" s="8" t="s">
        <v>48</v>
      </c>
      <c r="B6" s="23" t="s">
        <v>47</v>
      </c>
      <c r="C6" s="29">
        <v>6792</v>
      </c>
      <c r="D6" s="29">
        <v>1045</v>
      </c>
      <c r="E6" s="29">
        <v>550</v>
      </c>
      <c r="F6" s="29">
        <v>1254</v>
      </c>
      <c r="G6" s="29">
        <v>0</v>
      </c>
      <c r="H6" s="29">
        <v>0</v>
      </c>
      <c r="I6" s="29">
        <v>1359</v>
      </c>
      <c r="J6" s="30">
        <f t="shared" si="0"/>
        <v>11000</v>
      </c>
      <c r="K6" s="31">
        <f>J6-'Inland Production'!E6</f>
        <v>0</v>
      </c>
    </row>
    <row r="7" spans="1:11" x14ac:dyDescent="0.35">
      <c r="A7" s="5" t="s">
        <v>49</v>
      </c>
      <c r="B7" s="18" t="s">
        <v>47</v>
      </c>
      <c r="C7" s="29">
        <v>326657</v>
      </c>
      <c r="D7" s="29">
        <v>50255</v>
      </c>
      <c r="E7" s="29">
        <v>26450</v>
      </c>
      <c r="F7" s="29">
        <v>60306</v>
      </c>
      <c r="G7" s="29">
        <v>0</v>
      </c>
      <c r="H7" s="29">
        <v>0</v>
      </c>
      <c r="I7" s="29">
        <v>65332</v>
      </c>
      <c r="J7" s="30">
        <f t="shared" si="0"/>
        <v>529000</v>
      </c>
      <c r="K7" s="31">
        <f>J7-'Inland Production'!E7</f>
        <v>0</v>
      </c>
    </row>
    <row r="8" spans="1:11" x14ac:dyDescent="0.35">
      <c r="A8" s="8" t="s">
        <v>50</v>
      </c>
      <c r="B8" s="23" t="s">
        <v>47</v>
      </c>
      <c r="C8" s="29">
        <v>592800</v>
      </c>
      <c r="D8" s="29">
        <v>91200</v>
      </c>
      <c r="E8" s="29">
        <v>48000</v>
      </c>
      <c r="F8" s="29">
        <v>109440</v>
      </c>
      <c r="G8" s="29">
        <v>0</v>
      </c>
      <c r="H8" s="29">
        <v>0</v>
      </c>
      <c r="I8" s="29">
        <v>118560</v>
      </c>
      <c r="J8" s="30">
        <f t="shared" si="0"/>
        <v>960000</v>
      </c>
      <c r="K8" s="31">
        <f>J8-'Inland Production'!E8</f>
        <v>0</v>
      </c>
    </row>
    <row r="9" spans="1:11" x14ac:dyDescent="0.35">
      <c r="A9" s="5" t="s">
        <v>51</v>
      </c>
      <c r="B9" s="18" t="s">
        <v>47</v>
      </c>
      <c r="C9" s="29">
        <v>551200</v>
      </c>
      <c r="D9" s="29">
        <v>84800</v>
      </c>
      <c r="E9" s="19">
        <v>25000</v>
      </c>
      <c r="F9" s="29">
        <v>101760</v>
      </c>
      <c r="G9" s="29">
        <v>0</v>
      </c>
      <c r="H9" s="29">
        <v>0</v>
      </c>
      <c r="I9" s="29">
        <v>110240</v>
      </c>
      <c r="J9" s="30">
        <f t="shared" si="0"/>
        <v>873000</v>
      </c>
      <c r="K9" s="31">
        <f>J9-'Inland Production'!E9</f>
        <v>0</v>
      </c>
    </row>
    <row r="10" spans="1:11" x14ac:dyDescent="0.35">
      <c r="A10" s="8" t="s">
        <v>52</v>
      </c>
      <c r="B10" s="23" t="s">
        <v>47</v>
      </c>
      <c r="C10" s="29">
        <v>5557</v>
      </c>
      <c r="D10" s="29">
        <v>855</v>
      </c>
      <c r="E10" s="29">
        <v>450</v>
      </c>
      <c r="F10" s="29">
        <v>1026</v>
      </c>
      <c r="G10" s="29">
        <v>0</v>
      </c>
      <c r="H10" s="29">
        <v>0</v>
      </c>
      <c r="I10" s="29">
        <v>1112</v>
      </c>
      <c r="J10" s="30">
        <f t="shared" si="0"/>
        <v>9000</v>
      </c>
      <c r="K10" s="31">
        <f>J10-'Inland Production'!E10</f>
        <v>0</v>
      </c>
    </row>
    <row r="11" spans="1:11" x14ac:dyDescent="0.35">
      <c r="A11" s="5" t="s">
        <v>53</v>
      </c>
      <c r="B11" s="18" t="s">
        <v>47</v>
      </c>
      <c r="C11" s="29">
        <v>157209</v>
      </c>
      <c r="D11" s="29">
        <v>24186</v>
      </c>
      <c r="E11" s="29">
        <v>13900</v>
      </c>
      <c r="F11" s="29">
        <v>29023</v>
      </c>
      <c r="G11" s="29">
        <v>0</v>
      </c>
      <c r="H11" s="29">
        <v>22240</v>
      </c>
      <c r="I11" s="29">
        <v>31442</v>
      </c>
      <c r="J11" s="30">
        <f t="shared" si="0"/>
        <v>278000</v>
      </c>
      <c r="K11" s="31">
        <f>J11-'Inland Production'!E11</f>
        <v>0</v>
      </c>
    </row>
    <row r="12" spans="1:11" x14ac:dyDescent="0.35">
      <c r="A12" s="8" t="s">
        <v>54</v>
      </c>
      <c r="B12" s="23" t="s">
        <v>47</v>
      </c>
      <c r="C12" s="29">
        <v>143260</v>
      </c>
      <c r="D12" s="29">
        <v>22040</v>
      </c>
      <c r="E12" s="29">
        <v>11599</v>
      </c>
      <c r="F12" s="29">
        <v>26448</v>
      </c>
      <c r="G12" s="29">
        <v>0</v>
      </c>
      <c r="H12" s="29">
        <v>0</v>
      </c>
      <c r="I12" s="29">
        <v>28652</v>
      </c>
      <c r="J12" s="30">
        <f t="shared" si="0"/>
        <v>231999</v>
      </c>
      <c r="K12" s="31">
        <f>J12-'Inland Production'!E12</f>
        <v>0</v>
      </c>
    </row>
    <row r="13" spans="1:11" x14ac:dyDescent="0.35">
      <c r="A13" s="5" t="s">
        <v>55</v>
      </c>
      <c r="B13" s="18" t="s">
        <v>47</v>
      </c>
      <c r="C13" s="29">
        <v>11212</v>
      </c>
      <c r="D13" s="29">
        <v>1725</v>
      </c>
      <c r="E13" s="29">
        <v>950</v>
      </c>
      <c r="F13" s="29">
        <v>2070</v>
      </c>
      <c r="G13" s="29">
        <v>800</v>
      </c>
      <c r="H13" s="29">
        <v>0</v>
      </c>
      <c r="I13" s="29">
        <v>2243</v>
      </c>
      <c r="J13" s="30">
        <f t="shared" si="0"/>
        <v>19000</v>
      </c>
      <c r="K13" s="31">
        <f>J13-'Inland Production'!E13</f>
        <v>0</v>
      </c>
    </row>
    <row r="14" spans="1:11" x14ac:dyDescent="0.35">
      <c r="A14" s="8" t="s">
        <v>56</v>
      </c>
      <c r="B14" s="23" t="s">
        <v>47</v>
      </c>
      <c r="C14" s="29">
        <v>16932</v>
      </c>
      <c r="D14" s="29">
        <v>2605</v>
      </c>
      <c r="E14" s="29">
        <v>1449</v>
      </c>
      <c r="F14" s="29">
        <v>3126</v>
      </c>
      <c r="G14" s="29">
        <v>1500</v>
      </c>
      <c r="H14" s="29">
        <v>0</v>
      </c>
      <c r="I14" s="29">
        <v>3387</v>
      </c>
      <c r="J14" s="30">
        <f t="shared" si="0"/>
        <v>28999</v>
      </c>
      <c r="K14" s="31">
        <f>J14-'Inland Production'!E14</f>
        <v>0</v>
      </c>
    </row>
    <row r="15" spans="1:11" x14ac:dyDescent="0.35">
      <c r="A15" s="5" t="s">
        <v>57</v>
      </c>
      <c r="B15" s="18" t="s">
        <v>47</v>
      </c>
      <c r="C15" s="29">
        <v>224152</v>
      </c>
      <c r="D15" s="29">
        <v>34485</v>
      </c>
      <c r="E15" s="29">
        <v>18150</v>
      </c>
      <c r="F15" s="29">
        <v>41382</v>
      </c>
      <c r="G15" s="29">
        <v>0</v>
      </c>
      <c r="H15" s="29">
        <v>0</v>
      </c>
      <c r="I15" s="29">
        <v>44831</v>
      </c>
      <c r="J15" s="30">
        <f t="shared" si="0"/>
        <v>363000</v>
      </c>
      <c r="K15" s="31">
        <f>J15-'Inland Production'!E15</f>
        <v>0</v>
      </c>
    </row>
    <row r="16" spans="1:11" x14ac:dyDescent="0.35">
      <c r="A16" s="8" t="s">
        <v>58</v>
      </c>
      <c r="B16" s="23" t="s">
        <v>47</v>
      </c>
      <c r="C16" s="29">
        <v>247123</v>
      </c>
      <c r="D16" s="29">
        <v>38019</v>
      </c>
      <c r="E16" s="29">
        <v>21850</v>
      </c>
      <c r="F16" s="29">
        <v>45622</v>
      </c>
      <c r="G16" s="29">
        <v>0</v>
      </c>
      <c r="H16" s="29">
        <v>34960</v>
      </c>
      <c r="I16" s="29">
        <v>49426</v>
      </c>
      <c r="J16" s="30">
        <f t="shared" si="0"/>
        <v>437000</v>
      </c>
      <c r="K16" s="31">
        <f>J16-'Inland Production'!E16</f>
        <v>0</v>
      </c>
    </row>
    <row r="17" spans="1:11" x14ac:dyDescent="0.35">
      <c r="A17" s="5" t="s">
        <v>59</v>
      </c>
      <c r="B17" s="18" t="s">
        <v>47</v>
      </c>
      <c r="C17" s="29">
        <v>158340</v>
      </c>
      <c r="D17" s="29">
        <v>24360</v>
      </c>
      <c r="E17" s="29">
        <v>14000</v>
      </c>
      <c r="F17" s="29">
        <v>29232</v>
      </c>
      <c r="G17" s="29">
        <v>0</v>
      </c>
      <c r="H17" s="29">
        <v>22400</v>
      </c>
      <c r="I17" s="29">
        <v>31668</v>
      </c>
      <c r="J17" s="30">
        <f t="shared" si="0"/>
        <v>280000</v>
      </c>
      <c r="K17" s="31">
        <f>J17-'Inland Production'!E17</f>
        <v>0</v>
      </c>
    </row>
    <row r="18" spans="1:11" x14ac:dyDescent="0.35">
      <c r="A18" s="8" t="s">
        <v>60</v>
      </c>
      <c r="B18" s="23" t="s">
        <v>47</v>
      </c>
      <c r="C18" s="29">
        <v>274787</v>
      </c>
      <c r="D18" s="29">
        <v>42275</v>
      </c>
      <c r="E18" s="29">
        <v>22250</v>
      </c>
      <c r="F18" s="29">
        <v>50730</v>
      </c>
      <c r="G18" s="29">
        <v>0</v>
      </c>
      <c r="H18" s="29">
        <v>0</v>
      </c>
      <c r="I18" s="29">
        <v>54958</v>
      </c>
      <c r="J18" s="30">
        <f t="shared" si="0"/>
        <v>445000</v>
      </c>
      <c r="K18" s="31">
        <f>J18-'Inland Production'!E18</f>
        <v>0</v>
      </c>
    </row>
    <row r="19" spans="1:11" x14ac:dyDescent="0.35">
      <c r="A19" s="5" t="s">
        <v>61</v>
      </c>
      <c r="B19" s="18" t="s">
        <v>47</v>
      </c>
      <c r="C19" s="29">
        <v>153250</v>
      </c>
      <c r="D19" s="29">
        <v>23577</v>
      </c>
      <c r="E19" s="29">
        <v>13550</v>
      </c>
      <c r="F19" s="29">
        <v>28292</v>
      </c>
      <c r="G19" s="29">
        <v>0</v>
      </c>
      <c r="H19" s="29">
        <v>21680</v>
      </c>
      <c r="I19" s="29">
        <v>30651</v>
      </c>
      <c r="J19" s="30">
        <f t="shared" si="0"/>
        <v>271000</v>
      </c>
      <c r="K19" s="31">
        <f>J19-'Inland Production'!E19</f>
        <v>0</v>
      </c>
    </row>
    <row r="20" spans="1:11" x14ac:dyDescent="0.35">
      <c r="A20" s="8" t="s">
        <v>62</v>
      </c>
      <c r="B20" s="23" t="s">
        <v>47</v>
      </c>
      <c r="C20" s="29">
        <v>22847</v>
      </c>
      <c r="D20" s="29">
        <v>3515</v>
      </c>
      <c r="E20" s="29">
        <v>1850</v>
      </c>
      <c r="F20" s="29">
        <v>4218</v>
      </c>
      <c r="G20" s="29">
        <v>0</v>
      </c>
      <c r="H20" s="29">
        <v>0</v>
      </c>
      <c r="I20" s="29">
        <v>4570</v>
      </c>
      <c r="J20" s="30">
        <f t="shared" si="0"/>
        <v>37000</v>
      </c>
      <c r="K20" s="31">
        <f>J20-'Inland Production'!E20</f>
        <v>0</v>
      </c>
    </row>
    <row r="21" spans="1:11" x14ac:dyDescent="0.35">
      <c r="A21" s="5" t="s">
        <v>63</v>
      </c>
      <c r="B21" s="18" t="s">
        <v>47</v>
      </c>
      <c r="C21" s="29">
        <v>12350</v>
      </c>
      <c r="D21" s="29">
        <v>1900</v>
      </c>
      <c r="E21" s="29">
        <v>1000</v>
      </c>
      <c r="F21" s="29">
        <v>2280</v>
      </c>
      <c r="G21" s="29">
        <v>0</v>
      </c>
      <c r="H21" s="29">
        <v>0</v>
      </c>
      <c r="I21" s="29">
        <v>2470</v>
      </c>
      <c r="J21" s="30">
        <f t="shared" si="0"/>
        <v>20000</v>
      </c>
      <c r="K21" s="31">
        <f>J21-'Inland Production'!E21</f>
        <v>0</v>
      </c>
    </row>
    <row r="22" spans="1:11" x14ac:dyDescent="0.35">
      <c r="A22" s="8" t="s">
        <v>64</v>
      </c>
      <c r="B22" s="23" t="s">
        <v>47</v>
      </c>
      <c r="C22" s="29">
        <v>4322</v>
      </c>
      <c r="D22" s="29">
        <v>665</v>
      </c>
      <c r="E22" s="29">
        <v>350</v>
      </c>
      <c r="F22" s="29">
        <v>798</v>
      </c>
      <c r="G22" s="29">
        <v>0</v>
      </c>
      <c r="H22" s="29">
        <v>0</v>
      </c>
      <c r="I22" s="29">
        <v>865</v>
      </c>
      <c r="J22" s="30">
        <f t="shared" si="0"/>
        <v>7000</v>
      </c>
      <c r="K22" s="31">
        <f>J22-'Inland Production'!E22</f>
        <v>0</v>
      </c>
    </row>
    <row r="23" spans="1:11" x14ac:dyDescent="0.35">
      <c r="A23" s="5" t="s">
        <v>65</v>
      </c>
      <c r="B23" s="18" t="s">
        <v>47</v>
      </c>
      <c r="C23" s="29">
        <v>6792</v>
      </c>
      <c r="D23" s="29">
        <v>1045</v>
      </c>
      <c r="E23" s="29">
        <v>550</v>
      </c>
      <c r="F23" s="29">
        <v>1254</v>
      </c>
      <c r="G23" s="29">
        <v>0</v>
      </c>
      <c r="H23" s="29">
        <v>0</v>
      </c>
      <c r="I23" s="29">
        <v>1359</v>
      </c>
      <c r="J23" s="30">
        <f t="shared" si="0"/>
        <v>11000</v>
      </c>
      <c r="K23" s="31">
        <f>J23-'Inland Production'!E23</f>
        <v>0</v>
      </c>
    </row>
    <row r="24" spans="1:11" x14ac:dyDescent="0.35">
      <c r="A24" s="8" t="s">
        <v>66</v>
      </c>
      <c r="B24" s="23" t="s">
        <v>47</v>
      </c>
      <c r="C24" s="29">
        <v>538922</v>
      </c>
      <c r="D24" s="29">
        <v>82911</v>
      </c>
      <c r="E24" s="29">
        <v>47649</v>
      </c>
      <c r="F24" s="29">
        <v>99493</v>
      </c>
      <c r="G24" s="29">
        <v>0</v>
      </c>
      <c r="H24" s="29">
        <v>76239</v>
      </c>
      <c r="I24" s="29">
        <v>107785</v>
      </c>
      <c r="J24" s="30">
        <f t="shared" si="0"/>
        <v>952999</v>
      </c>
      <c r="K24" s="31">
        <f>J24-'Inland Production'!E24</f>
        <v>0</v>
      </c>
    </row>
    <row r="25" spans="1:11" x14ac:dyDescent="0.35">
      <c r="A25" s="5" t="s">
        <v>67</v>
      </c>
      <c r="B25" s="18" t="s">
        <v>47</v>
      </c>
      <c r="C25" s="29">
        <v>125352</v>
      </c>
      <c r="D25" s="29">
        <v>19285</v>
      </c>
      <c r="E25" s="29">
        <v>10149</v>
      </c>
      <c r="F25" s="29">
        <v>23142</v>
      </c>
      <c r="G25" s="29">
        <v>0</v>
      </c>
      <c r="H25" s="29">
        <v>0</v>
      </c>
      <c r="I25" s="29">
        <v>25071</v>
      </c>
      <c r="J25" s="30">
        <f t="shared" si="0"/>
        <v>202999</v>
      </c>
      <c r="K25" s="31">
        <f>J25-'Inland Production'!E25</f>
        <v>0</v>
      </c>
    </row>
    <row r="26" spans="1:11" x14ac:dyDescent="0.35">
      <c r="A26" s="8" t="s">
        <v>68</v>
      </c>
      <c r="B26" s="23" t="s">
        <v>47</v>
      </c>
      <c r="C26" s="29">
        <v>70395</v>
      </c>
      <c r="D26" s="29">
        <v>10830</v>
      </c>
      <c r="E26" s="29">
        <v>5699</v>
      </c>
      <c r="F26" s="29">
        <v>12996</v>
      </c>
      <c r="G26" s="29">
        <v>0</v>
      </c>
      <c r="H26" s="29">
        <v>0</v>
      </c>
      <c r="I26" s="29">
        <v>14079</v>
      </c>
      <c r="J26" s="30">
        <f t="shared" si="0"/>
        <v>113999</v>
      </c>
      <c r="K26" s="31">
        <f>J26-'Inland Production'!E26</f>
        <v>0</v>
      </c>
    </row>
    <row r="27" spans="1:11" x14ac:dyDescent="0.35">
      <c r="A27" s="5" t="s">
        <v>69</v>
      </c>
      <c r="B27" s="18" t="s">
        <v>47</v>
      </c>
      <c r="C27" s="29">
        <v>617</v>
      </c>
      <c r="D27" s="29">
        <v>95</v>
      </c>
      <c r="E27" s="29">
        <v>50</v>
      </c>
      <c r="F27" s="29">
        <v>114</v>
      </c>
      <c r="G27" s="29">
        <v>0</v>
      </c>
      <c r="H27" s="29">
        <v>0</v>
      </c>
      <c r="I27" s="29">
        <v>124</v>
      </c>
      <c r="J27" s="30">
        <f t="shared" si="0"/>
        <v>1000</v>
      </c>
      <c r="K27" s="31">
        <f>J27-'Inland Production'!E27</f>
        <v>0</v>
      </c>
    </row>
    <row r="28" spans="1:11" x14ac:dyDescent="0.35">
      <c r="A28" s="8" t="s">
        <v>70</v>
      </c>
      <c r="B28" s="23" t="s">
        <v>47</v>
      </c>
      <c r="C28" s="29">
        <v>150988</v>
      </c>
      <c r="D28" s="29">
        <v>23229</v>
      </c>
      <c r="E28" s="29">
        <v>13350</v>
      </c>
      <c r="F28" s="29">
        <v>27874</v>
      </c>
      <c r="G28" s="29">
        <v>0</v>
      </c>
      <c r="H28" s="29">
        <v>21360</v>
      </c>
      <c r="I28" s="29">
        <v>30199</v>
      </c>
      <c r="J28" s="30">
        <f t="shared" si="0"/>
        <v>267000</v>
      </c>
      <c r="K28" s="31">
        <f>J28-'Inland Production'!E28</f>
        <v>0</v>
      </c>
    </row>
    <row r="29" spans="1:11" x14ac:dyDescent="0.35">
      <c r="A29" s="5" t="s">
        <v>71</v>
      </c>
      <c r="B29" s="18" t="s">
        <v>47</v>
      </c>
      <c r="C29" s="29">
        <v>300000</v>
      </c>
      <c r="D29" s="29">
        <v>40000</v>
      </c>
      <c r="E29" s="29">
        <v>20000</v>
      </c>
      <c r="F29" s="29">
        <v>30000</v>
      </c>
      <c r="G29" s="29">
        <v>0</v>
      </c>
      <c r="H29" s="19">
        <v>38000</v>
      </c>
      <c r="I29" s="29">
        <v>48999</v>
      </c>
      <c r="J29" s="30">
        <f t="shared" si="0"/>
        <v>476999</v>
      </c>
      <c r="K29" s="31">
        <f>J29-'Inland Production'!E29</f>
        <v>0</v>
      </c>
    </row>
    <row r="30" spans="1:11" x14ac:dyDescent="0.35">
      <c r="A30" s="8" t="s">
        <v>72</v>
      </c>
      <c r="B30" s="23" t="s">
        <v>47</v>
      </c>
      <c r="C30" s="29">
        <v>54957</v>
      </c>
      <c r="D30" s="29">
        <v>8455</v>
      </c>
      <c r="E30" s="29">
        <v>4450</v>
      </c>
      <c r="F30" s="29">
        <v>10146</v>
      </c>
      <c r="G30" s="29">
        <v>0</v>
      </c>
      <c r="H30" s="29">
        <v>0</v>
      </c>
      <c r="I30" s="29">
        <v>10992</v>
      </c>
      <c r="J30" s="30">
        <f t="shared" si="0"/>
        <v>89000</v>
      </c>
      <c r="K30" s="31">
        <f>J30-'Inland Production'!E30</f>
        <v>0</v>
      </c>
    </row>
    <row r="31" spans="1:11" x14ac:dyDescent="0.35">
      <c r="A31" s="5" t="s">
        <v>73</v>
      </c>
      <c r="B31" s="18" t="s">
        <v>47</v>
      </c>
      <c r="C31" s="29">
        <v>5850</v>
      </c>
      <c r="D31" s="29">
        <v>900</v>
      </c>
      <c r="E31" s="29">
        <v>500</v>
      </c>
      <c r="F31" s="29">
        <v>1080</v>
      </c>
      <c r="G31" s="29">
        <v>500</v>
      </c>
      <c r="H31" s="29">
        <v>0</v>
      </c>
      <c r="I31" s="29">
        <v>1170</v>
      </c>
      <c r="J31" s="30">
        <f t="shared" si="0"/>
        <v>10000</v>
      </c>
      <c r="K31" s="31">
        <f>J31-'Inland Production'!E31</f>
        <v>0</v>
      </c>
    </row>
    <row r="32" spans="1:11" x14ac:dyDescent="0.35">
      <c r="A32" s="8" t="s">
        <v>74</v>
      </c>
      <c r="B32" s="23" t="s">
        <v>47</v>
      </c>
      <c r="C32" s="29">
        <v>821892</v>
      </c>
      <c r="D32" s="29">
        <v>126445</v>
      </c>
      <c r="E32" s="29">
        <v>66550</v>
      </c>
      <c r="F32" s="29">
        <v>151734</v>
      </c>
      <c r="G32" s="29">
        <v>0</v>
      </c>
      <c r="H32" s="29">
        <v>0</v>
      </c>
      <c r="I32" s="29">
        <v>164379</v>
      </c>
      <c r="J32" s="30">
        <f t="shared" si="0"/>
        <v>1331000</v>
      </c>
      <c r="K32" s="31">
        <f>J32-'Inland Production'!E32</f>
        <v>0</v>
      </c>
    </row>
    <row r="33" spans="1:11" x14ac:dyDescent="0.35">
      <c r="A33" s="5" t="s">
        <v>75</v>
      </c>
      <c r="B33" s="18" t="s">
        <v>47</v>
      </c>
      <c r="C33" s="29">
        <v>1134958</v>
      </c>
      <c r="D33" s="29">
        <v>174609</v>
      </c>
      <c r="E33" s="29">
        <v>100350</v>
      </c>
      <c r="F33" s="29">
        <v>209530</v>
      </c>
      <c r="G33" s="29">
        <v>0</v>
      </c>
      <c r="H33" s="29">
        <v>160560</v>
      </c>
      <c r="I33" s="29">
        <v>226993</v>
      </c>
      <c r="J33" s="30">
        <f t="shared" si="0"/>
        <v>2007000</v>
      </c>
      <c r="K33" s="31">
        <f>J33-'Inland Production'!E33</f>
        <v>0</v>
      </c>
    </row>
    <row r="34" spans="1:11" x14ac:dyDescent="0.35">
      <c r="A34" s="8" t="s">
        <v>76</v>
      </c>
      <c r="B34" s="23" t="s">
        <v>47</v>
      </c>
      <c r="C34" s="29">
        <v>617</v>
      </c>
      <c r="D34" s="29">
        <v>95</v>
      </c>
      <c r="E34" s="29">
        <v>50</v>
      </c>
      <c r="F34" s="29">
        <v>114</v>
      </c>
      <c r="G34" s="29">
        <v>0</v>
      </c>
      <c r="H34" s="29">
        <v>0</v>
      </c>
      <c r="I34" s="29">
        <v>124</v>
      </c>
      <c r="J34" s="30">
        <f t="shared" si="0"/>
        <v>1000</v>
      </c>
      <c r="K34" s="31">
        <f>J34-'Inland Production'!E34</f>
        <v>0</v>
      </c>
    </row>
    <row r="35" spans="1:11" x14ac:dyDescent="0.35">
      <c r="A35" s="5" t="s">
        <v>77</v>
      </c>
      <c r="B35" s="18" t="s">
        <v>47</v>
      </c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30">
        <f t="shared" si="0"/>
        <v>0</v>
      </c>
      <c r="K35" s="31">
        <f>J35-'Inland Production'!E35</f>
        <v>0</v>
      </c>
    </row>
    <row r="36" spans="1:11" x14ac:dyDescent="0.35">
      <c r="A36" s="8" t="s">
        <v>78</v>
      </c>
      <c r="B36" s="23" t="s">
        <v>47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30">
        <f t="shared" si="0"/>
        <v>0</v>
      </c>
      <c r="K36" s="31">
        <f>J36-'Inland Production'!E36</f>
        <v>0</v>
      </c>
    </row>
    <row r="37" spans="1:11" x14ac:dyDescent="0.35">
      <c r="A37" s="5" t="s">
        <v>79</v>
      </c>
      <c r="B37" s="18" t="s">
        <v>47</v>
      </c>
      <c r="C37" s="29">
        <v>617</v>
      </c>
      <c r="D37" s="29">
        <v>95</v>
      </c>
      <c r="E37" s="29">
        <v>50</v>
      </c>
      <c r="F37" s="29">
        <v>114</v>
      </c>
      <c r="G37" s="29">
        <v>0</v>
      </c>
      <c r="H37" s="29">
        <v>0</v>
      </c>
      <c r="I37" s="29">
        <v>124</v>
      </c>
      <c r="J37" s="30">
        <f t="shared" si="0"/>
        <v>1000</v>
      </c>
      <c r="K37" s="31">
        <f>J37-'Inland Production'!E37</f>
        <v>0</v>
      </c>
    </row>
    <row r="38" spans="1:11" x14ac:dyDescent="0.35">
      <c r="A38" s="8" t="s">
        <v>80</v>
      </c>
      <c r="B38" s="23" t="s">
        <v>47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30">
        <f t="shared" si="0"/>
        <v>0</v>
      </c>
      <c r="K38" s="31">
        <f>J38-'Inland Production'!E38</f>
        <v>0</v>
      </c>
    </row>
    <row r="39" spans="1:11" x14ac:dyDescent="0.35">
      <c r="A39" s="5" t="s">
        <v>81</v>
      </c>
      <c r="B39" s="18" t="s">
        <v>47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30">
        <f t="shared" si="0"/>
        <v>0</v>
      </c>
      <c r="K39" s="31">
        <f>J39-'Inland Production'!E39</f>
        <v>0</v>
      </c>
    </row>
    <row r="40" spans="1:11" x14ac:dyDescent="0.35">
      <c r="A40" s="8" t="s">
        <v>82</v>
      </c>
      <c r="B40" s="23" t="s">
        <v>47</v>
      </c>
      <c r="C40" s="29">
        <v>3705</v>
      </c>
      <c r="D40" s="29">
        <v>570</v>
      </c>
      <c r="E40" s="29">
        <v>300</v>
      </c>
      <c r="F40" s="29">
        <v>684</v>
      </c>
      <c r="G40" s="29">
        <v>0</v>
      </c>
      <c r="H40" s="29">
        <v>0</v>
      </c>
      <c r="I40" s="29">
        <v>741</v>
      </c>
      <c r="J40" s="30">
        <f t="shared" si="0"/>
        <v>6000</v>
      </c>
      <c r="K40" s="31">
        <f>J40-'Inland Production'!E40</f>
        <v>0</v>
      </c>
    </row>
    <row r="41" spans="1:11" x14ac:dyDescent="0.35">
      <c r="A41" s="25" t="s">
        <v>83</v>
      </c>
      <c r="B41" s="25"/>
      <c r="C41" s="26">
        <f t="shared" ref="C41:K41" si="1">SUM(C5:C40)</f>
        <v>8947792</v>
      </c>
      <c r="D41" s="26">
        <f t="shared" si="1"/>
        <v>1370431</v>
      </c>
      <c r="E41" s="26">
        <f t="shared" si="1"/>
        <v>735445</v>
      </c>
      <c r="F41" s="26">
        <f t="shared" si="1"/>
        <v>1626514</v>
      </c>
      <c r="G41" s="26">
        <f t="shared" si="1"/>
        <v>2800</v>
      </c>
      <c r="H41" s="26">
        <f t="shared" si="1"/>
        <v>697439</v>
      </c>
      <c r="I41" s="26">
        <f t="shared" si="1"/>
        <v>1778573</v>
      </c>
      <c r="J41" s="26">
        <f t="shared" si="1"/>
        <v>15158994</v>
      </c>
      <c r="K41" s="26">
        <f t="shared" si="1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1.453125" customWidth="1"/>
    <col min="2" max="2" width="14" customWidth="1"/>
    <col min="3" max="3" width="28" customWidth="1"/>
    <col min="4" max="4" width="29" customWidth="1"/>
    <col min="5" max="5" width="33" customWidth="1"/>
    <col min="6" max="6" width="23" customWidth="1"/>
  </cols>
  <sheetData>
    <row r="1" spans="1:6" ht="21" x14ac:dyDescent="0.5">
      <c r="A1" s="2" t="s">
        <v>119</v>
      </c>
    </row>
    <row r="2" spans="1:6" ht="15.5" x14ac:dyDescent="0.35">
      <c r="A2" s="3" t="s">
        <v>120</v>
      </c>
    </row>
    <row r="4" spans="1:6" x14ac:dyDescent="0.35">
      <c r="A4" s="17" t="s">
        <v>39</v>
      </c>
      <c r="B4" s="17" t="s">
        <v>40</v>
      </c>
      <c r="C4" s="17" t="s">
        <v>117</v>
      </c>
      <c r="D4" s="17" t="s">
        <v>44</v>
      </c>
      <c r="E4" s="17" t="s">
        <v>25</v>
      </c>
      <c r="F4" s="17" t="s">
        <v>121</v>
      </c>
    </row>
    <row r="5" spans="1:6" x14ac:dyDescent="0.35">
      <c r="A5" s="5" t="s">
        <v>46</v>
      </c>
      <c r="B5" s="18" t="s">
        <v>47</v>
      </c>
      <c r="C5" s="30">
        <f>'Inland Production'!E5</f>
        <v>4888000</v>
      </c>
      <c r="D5" s="21">
        <f t="shared" ref="D5:D40" si="0">C5*E5/100000</f>
        <v>6843.2</v>
      </c>
      <c r="E5" s="32">
        <v>140</v>
      </c>
      <c r="F5" s="19">
        <v>2500000</v>
      </c>
    </row>
    <row r="6" spans="1:6" x14ac:dyDescent="0.35">
      <c r="A6" s="8" t="s">
        <v>48</v>
      </c>
      <c r="B6" s="23" t="s">
        <v>47</v>
      </c>
      <c r="C6" s="30">
        <f>'Inland Production'!E6</f>
        <v>11000</v>
      </c>
      <c r="D6" s="21">
        <f t="shared" si="0"/>
        <v>16.5</v>
      </c>
      <c r="E6" s="32">
        <v>150</v>
      </c>
      <c r="F6" s="19">
        <v>8800</v>
      </c>
    </row>
    <row r="7" spans="1:6" x14ac:dyDescent="0.35">
      <c r="A7" s="5" t="s">
        <v>49</v>
      </c>
      <c r="B7" s="18" t="s">
        <v>47</v>
      </c>
      <c r="C7" s="30">
        <f>'Inland Production'!E7</f>
        <v>529000</v>
      </c>
      <c r="D7" s="21">
        <f t="shared" si="0"/>
        <v>793.5</v>
      </c>
      <c r="E7" s="32">
        <v>150</v>
      </c>
      <c r="F7" s="19">
        <v>423200</v>
      </c>
    </row>
    <row r="8" spans="1:6" x14ac:dyDescent="0.35">
      <c r="A8" s="8" t="s">
        <v>50</v>
      </c>
      <c r="B8" s="23" t="s">
        <v>47</v>
      </c>
      <c r="C8" s="30">
        <f>'Inland Production'!E8</f>
        <v>960000</v>
      </c>
      <c r="D8" s="21">
        <f t="shared" si="0"/>
        <v>1440</v>
      </c>
      <c r="E8" s="32">
        <v>150</v>
      </c>
      <c r="F8" s="19">
        <v>768000</v>
      </c>
    </row>
    <row r="9" spans="1:6" x14ac:dyDescent="0.35">
      <c r="A9" s="5" t="s">
        <v>51</v>
      </c>
      <c r="B9" s="18" t="s">
        <v>47</v>
      </c>
      <c r="C9" s="30">
        <f>'Inland Production'!E9</f>
        <v>873000</v>
      </c>
      <c r="D9" s="21">
        <f t="shared" si="0"/>
        <v>1134.9000000000001</v>
      </c>
      <c r="E9" s="32">
        <v>130</v>
      </c>
      <c r="F9" s="19">
        <v>698400</v>
      </c>
    </row>
    <row r="10" spans="1:6" x14ac:dyDescent="0.35">
      <c r="A10" s="8" t="s">
        <v>52</v>
      </c>
      <c r="B10" s="23" t="s">
        <v>47</v>
      </c>
      <c r="C10" s="30">
        <f>'Inland Production'!E10</f>
        <v>9000</v>
      </c>
      <c r="D10" s="21">
        <f t="shared" si="0"/>
        <v>13.5</v>
      </c>
      <c r="E10" s="32">
        <v>150</v>
      </c>
      <c r="F10" s="19">
        <v>7200</v>
      </c>
    </row>
    <row r="11" spans="1:6" x14ac:dyDescent="0.35">
      <c r="A11" s="5" t="s">
        <v>53</v>
      </c>
      <c r="B11" s="18" t="s">
        <v>47</v>
      </c>
      <c r="C11" s="30">
        <f>'Inland Production'!E11</f>
        <v>278000</v>
      </c>
      <c r="D11" s="21">
        <f t="shared" si="0"/>
        <v>417</v>
      </c>
      <c r="E11" s="32">
        <v>150</v>
      </c>
      <c r="F11" s="19">
        <v>222400</v>
      </c>
    </row>
    <row r="12" spans="1:6" x14ac:dyDescent="0.35">
      <c r="A12" s="8" t="s">
        <v>54</v>
      </c>
      <c r="B12" s="23" t="s">
        <v>47</v>
      </c>
      <c r="C12" s="30">
        <f>'Inland Production'!E12</f>
        <v>231999</v>
      </c>
      <c r="D12" s="21">
        <f t="shared" si="0"/>
        <v>347.99849999999998</v>
      </c>
      <c r="E12" s="32">
        <v>150</v>
      </c>
      <c r="F12" s="19">
        <v>185599</v>
      </c>
    </row>
    <row r="13" spans="1:6" x14ac:dyDescent="0.35">
      <c r="A13" s="5" t="s">
        <v>55</v>
      </c>
      <c r="B13" s="18" t="s">
        <v>47</v>
      </c>
      <c r="C13" s="30">
        <f>'Inland Production'!E13</f>
        <v>19000</v>
      </c>
      <c r="D13" s="21">
        <f t="shared" si="0"/>
        <v>45.6</v>
      </c>
      <c r="E13" s="32">
        <v>240</v>
      </c>
      <c r="F13" s="19">
        <v>15200</v>
      </c>
    </row>
    <row r="14" spans="1:6" x14ac:dyDescent="0.35">
      <c r="A14" s="8" t="s">
        <v>56</v>
      </c>
      <c r="B14" s="23" t="s">
        <v>47</v>
      </c>
      <c r="C14" s="30">
        <f>'Inland Production'!E14</f>
        <v>28999</v>
      </c>
      <c r="D14" s="21">
        <f t="shared" si="0"/>
        <v>69.5976</v>
      </c>
      <c r="E14" s="32">
        <v>240</v>
      </c>
      <c r="F14" s="19">
        <v>23199</v>
      </c>
    </row>
    <row r="15" spans="1:6" x14ac:dyDescent="0.35">
      <c r="A15" s="5" t="s">
        <v>57</v>
      </c>
      <c r="B15" s="18" t="s">
        <v>47</v>
      </c>
      <c r="C15" s="30">
        <f>'Inland Production'!E15</f>
        <v>363000</v>
      </c>
      <c r="D15" s="21">
        <f t="shared" si="0"/>
        <v>544.5</v>
      </c>
      <c r="E15" s="32">
        <v>150</v>
      </c>
      <c r="F15" s="19">
        <v>290400</v>
      </c>
    </row>
    <row r="16" spans="1:6" x14ac:dyDescent="0.35">
      <c r="A16" s="8" t="s">
        <v>58</v>
      </c>
      <c r="B16" s="23" t="s">
        <v>47</v>
      </c>
      <c r="C16" s="30">
        <f>'Inland Production'!E16</f>
        <v>437000</v>
      </c>
      <c r="D16" s="21">
        <f t="shared" si="0"/>
        <v>655.5</v>
      </c>
      <c r="E16" s="32">
        <v>150</v>
      </c>
      <c r="F16" s="19">
        <v>349600</v>
      </c>
    </row>
    <row r="17" spans="1:6" x14ac:dyDescent="0.35">
      <c r="A17" s="5" t="s">
        <v>59</v>
      </c>
      <c r="B17" s="18" t="s">
        <v>47</v>
      </c>
      <c r="C17" s="30">
        <f>'Inland Production'!E17</f>
        <v>280000</v>
      </c>
      <c r="D17" s="21">
        <f t="shared" si="0"/>
        <v>420</v>
      </c>
      <c r="E17" s="32">
        <v>150</v>
      </c>
      <c r="F17" s="19">
        <v>224000</v>
      </c>
    </row>
    <row r="18" spans="1:6" x14ac:dyDescent="0.35">
      <c r="A18" s="8" t="s">
        <v>60</v>
      </c>
      <c r="B18" s="23" t="s">
        <v>47</v>
      </c>
      <c r="C18" s="30">
        <f>'Inland Production'!E18</f>
        <v>445000</v>
      </c>
      <c r="D18" s="21">
        <f t="shared" si="0"/>
        <v>667.5</v>
      </c>
      <c r="E18" s="32">
        <v>150</v>
      </c>
      <c r="F18" s="19">
        <v>356000</v>
      </c>
    </row>
    <row r="19" spans="1:6" x14ac:dyDescent="0.35">
      <c r="A19" s="5" t="s">
        <v>61</v>
      </c>
      <c r="B19" s="18" t="s">
        <v>47</v>
      </c>
      <c r="C19" s="30">
        <f>'Inland Production'!E19</f>
        <v>271000</v>
      </c>
      <c r="D19" s="21">
        <f t="shared" si="0"/>
        <v>406.5</v>
      </c>
      <c r="E19" s="32">
        <v>150</v>
      </c>
      <c r="F19" s="19">
        <v>216800</v>
      </c>
    </row>
    <row r="20" spans="1:6" x14ac:dyDescent="0.35">
      <c r="A20" s="8" t="s">
        <v>62</v>
      </c>
      <c r="B20" s="23" t="s">
        <v>47</v>
      </c>
      <c r="C20" s="30">
        <f>'Inland Production'!E20</f>
        <v>37000</v>
      </c>
      <c r="D20" s="21">
        <f t="shared" si="0"/>
        <v>55.5</v>
      </c>
      <c r="E20" s="32">
        <v>150</v>
      </c>
      <c r="F20" s="19">
        <v>29600</v>
      </c>
    </row>
    <row r="21" spans="1:6" x14ac:dyDescent="0.35">
      <c r="A21" s="5" t="s">
        <v>63</v>
      </c>
      <c r="B21" s="18" t="s">
        <v>47</v>
      </c>
      <c r="C21" s="30">
        <f>'Inland Production'!E21</f>
        <v>20000</v>
      </c>
      <c r="D21" s="21">
        <f t="shared" si="0"/>
        <v>30</v>
      </c>
      <c r="E21" s="32">
        <v>150</v>
      </c>
      <c r="F21" s="19">
        <v>16000</v>
      </c>
    </row>
    <row r="22" spans="1:6" x14ac:dyDescent="0.35">
      <c r="A22" s="8" t="s">
        <v>64</v>
      </c>
      <c r="B22" s="23" t="s">
        <v>47</v>
      </c>
      <c r="C22" s="30">
        <f>'Inland Production'!E22</f>
        <v>7000</v>
      </c>
      <c r="D22" s="21">
        <f t="shared" si="0"/>
        <v>10.5</v>
      </c>
      <c r="E22" s="32">
        <v>150</v>
      </c>
      <c r="F22" s="19">
        <v>5600</v>
      </c>
    </row>
    <row r="23" spans="1:6" x14ac:dyDescent="0.35">
      <c r="A23" s="5" t="s">
        <v>65</v>
      </c>
      <c r="B23" s="18" t="s">
        <v>47</v>
      </c>
      <c r="C23" s="30">
        <f>'Inland Production'!E23</f>
        <v>11000</v>
      </c>
      <c r="D23" s="21">
        <f t="shared" si="0"/>
        <v>16.5</v>
      </c>
      <c r="E23" s="32">
        <v>150</v>
      </c>
      <c r="F23" s="19">
        <v>8800</v>
      </c>
    </row>
    <row r="24" spans="1:6" x14ac:dyDescent="0.35">
      <c r="A24" s="8" t="s">
        <v>66</v>
      </c>
      <c r="B24" s="23" t="s">
        <v>47</v>
      </c>
      <c r="C24" s="30">
        <f>'Inland Production'!E24</f>
        <v>952999</v>
      </c>
      <c r="D24" s="21">
        <f t="shared" si="0"/>
        <v>1429.4984999999999</v>
      </c>
      <c r="E24" s="32">
        <v>150</v>
      </c>
      <c r="F24" s="19">
        <v>762399</v>
      </c>
    </row>
    <row r="25" spans="1:6" x14ac:dyDescent="0.35">
      <c r="A25" s="5" t="s">
        <v>67</v>
      </c>
      <c r="B25" s="18" t="s">
        <v>47</v>
      </c>
      <c r="C25" s="30">
        <f>'Inland Production'!E25</f>
        <v>202999</v>
      </c>
      <c r="D25" s="21">
        <f t="shared" si="0"/>
        <v>304.49849999999998</v>
      </c>
      <c r="E25" s="32">
        <v>150</v>
      </c>
      <c r="F25" s="19">
        <v>162399</v>
      </c>
    </row>
    <row r="26" spans="1:6" x14ac:dyDescent="0.35">
      <c r="A26" s="8" t="s">
        <v>68</v>
      </c>
      <c r="B26" s="23" t="s">
        <v>47</v>
      </c>
      <c r="C26" s="30">
        <f>'Inland Production'!E26</f>
        <v>113999</v>
      </c>
      <c r="D26" s="21">
        <f t="shared" si="0"/>
        <v>170.99850000000001</v>
      </c>
      <c r="E26" s="32">
        <v>150</v>
      </c>
      <c r="F26" s="19">
        <v>91199</v>
      </c>
    </row>
    <row r="27" spans="1:6" x14ac:dyDescent="0.35">
      <c r="A27" s="5" t="s">
        <v>69</v>
      </c>
      <c r="B27" s="18" t="s">
        <v>47</v>
      </c>
      <c r="C27" s="30">
        <f>'Inland Production'!E27</f>
        <v>1000</v>
      </c>
      <c r="D27" s="21">
        <f t="shared" si="0"/>
        <v>1.5</v>
      </c>
      <c r="E27" s="32">
        <v>150</v>
      </c>
      <c r="F27" s="19">
        <v>800</v>
      </c>
    </row>
    <row r="28" spans="1:6" x14ac:dyDescent="0.35">
      <c r="A28" s="8" t="s">
        <v>70</v>
      </c>
      <c r="B28" s="23" t="s">
        <v>47</v>
      </c>
      <c r="C28" s="30">
        <f>'Inland Production'!E28</f>
        <v>267000</v>
      </c>
      <c r="D28" s="21">
        <f t="shared" si="0"/>
        <v>400.5</v>
      </c>
      <c r="E28" s="32">
        <v>150</v>
      </c>
      <c r="F28" s="19">
        <v>213600</v>
      </c>
    </row>
    <row r="29" spans="1:6" x14ac:dyDescent="0.35">
      <c r="A29" s="5" t="s">
        <v>71</v>
      </c>
      <c r="B29" s="18" t="s">
        <v>47</v>
      </c>
      <c r="C29" s="30">
        <f>'Inland Production'!E29</f>
        <v>476999</v>
      </c>
      <c r="D29" s="21">
        <f t="shared" si="0"/>
        <v>711.68250799999998</v>
      </c>
      <c r="E29" s="32">
        <v>149.19999999999999</v>
      </c>
      <c r="F29" s="19">
        <v>304000</v>
      </c>
    </row>
    <row r="30" spans="1:6" x14ac:dyDescent="0.35">
      <c r="A30" s="8" t="s">
        <v>72</v>
      </c>
      <c r="B30" s="23" t="s">
        <v>47</v>
      </c>
      <c r="C30" s="30">
        <f>'Inland Production'!E30</f>
        <v>89000</v>
      </c>
      <c r="D30" s="21">
        <f t="shared" si="0"/>
        <v>133.5</v>
      </c>
      <c r="E30" s="32">
        <v>150</v>
      </c>
      <c r="F30" s="19">
        <v>71200</v>
      </c>
    </row>
    <row r="31" spans="1:6" x14ac:dyDescent="0.35">
      <c r="A31" s="5" t="s">
        <v>73</v>
      </c>
      <c r="B31" s="18" t="s">
        <v>47</v>
      </c>
      <c r="C31" s="30">
        <f>'Inland Production'!E31</f>
        <v>10000</v>
      </c>
      <c r="D31" s="21">
        <f t="shared" si="0"/>
        <v>24</v>
      </c>
      <c r="E31" s="32">
        <v>240</v>
      </c>
      <c r="F31" s="19">
        <v>8000</v>
      </c>
    </row>
    <row r="32" spans="1:6" x14ac:dyDescent="0.35">
      <c r="A32" s="8" t="s">
        <v>74</v>
      </c>
      <c r="B32" s="23" t="s">
        <v>47</v>
      </c>
      <c r="C32" s="30">
        <f>'Inland Production'!E32</f>
        <v>1331000</v>
      </c>
      <c r="D32" s="21">
        <f t="shared" si="0"/>
        <v>1996.5</v>
      </c>
      <c r="E32" s="32">
        <v>150</v>
      </c>
      <c r="F32" s="19">
        <v>1064800</v>
      </c>
    </row>
    <row r="33" spans="1:6" x14ac:dyDescent="0.35">
      <c r="A33" s="5" t="s">
        <v>75</v>
      </c>
      <c r="B33" s="18" t="s">
        <v>47</v>
      </c>
      <c r="C33" s="30">
        <f>'Inland Production'!E33</f>
        <v>2007000</v>
      </c>
      <c r="D33" s="21">
        <f t="shared" si="0"/>
        <v>3010.5</v>
      </c>
      <c r="E33" s="32">
        <v>150</v>
      </c>
      <c r="F33" s="19">
        <v>1700000</v>
      </c>
    </row>
    <row r="34" spans="1:6" x14ac:dyDescent="0.35">
      <c r="A34" s="8" t="s">
        <v>76</v>
      </c>
      <c r="B34" s="23" t="s">
        <v>47</v>
      </c>
      <c r="C34" s="30">
        <f>'Inland Production'!E34</f>
        <v>1000</v>
      </c>
      <c r="D34" s="21">
        <f t="shared" si="0"/>
        <v>1.5</v>
      </c>
      <c r="E34" s="32">
        <v>150</v>
      </c>
      <c r="F34" s="19">
        <v>800</v>
      </c>
    </row>
    <row r="35" spans="1:6" x14ac:dyDescent="0.35">
      <c r="A35" s="5" t="s">
        <v>77</v>
      </c>
      <c r="B35" s="18" t="s">
        <v>47</v>
      </c>
      <c r="C35" s="30">
        <f>'Inland Production'!E35</f>
        <v>0</v>
      </c>
      <c r="D35" s="21">
        <f t="shared" si="0"/>
        <v>0</v>
      </c>
      <c r="E35" s="32">
        <v>150</v>
      </c>
      <c r="F35" s="19">
        <v>0</v>
      </c>
    </row>
    <row r="36" spans="1:6" x14ac:dyDescent="0.35">
      <c r="A36" s="8" t="s">
        <v>78</v>
      </c>
      <c r="B36" s="23" t="s">
        <v>47</v>
      </c>
      <c r="C36" s="30">
        <f>'Inland Production'!E36</f>
        <v>0</v>
      </c>
      <c r="D36" s="21">
        <f t="shared" si="0"/>
        <v>0</v>
      </c>
      <c r="E36" s="32">
        <v>150</v>
      </c>
      <c r="F36" s="19">
        <v>0</v>
      </c>
    </row>
    <row r="37" spans="1:6" x14ac:dyDescent="0.35">
      <c r="A37" s="5" t="s">
        <v>79</v>
      </c>
      <c r="B37" s="18" t="s">
        <v>47</v>
      </c>
      <c r="C37" s="30">
        <f>'Inland Production'!E37</f>
        <v>1000</v>
      </c>
      <c r="D37" s="21">
        <f t="shared" si="0"/>
        <v>1.5</v>
      </c>
      <c r="E37" s="32">
        <v>150</v>
      </c>
      <c r="F37" s="19">
        <v>800</v>
      </c>
    </row>
    <row r="38" spans="1:6" x14ac:dyDescent="0.35">
      <c r="A38" s="8" t="s">
        <v>80</v>
      </c>
      <c r="B38" s="23" t="s">
        <v>47</v>
      </c>
      <c r="C38" s="30">
        <f>'Inland Production'!E38</f>
        <v>0</v>
      </c>
      <c r="D38" s="21">
        <f t="shared" si="0"/>
        <v>0</v>
      </c>
      <c r="E38" s="32">
        <v>150</v>
      </c>
      <c r="F38" s="19">
        <v>0</v>
      </c>
    </row>
    <row r="39" spans="1:6" x14ac:dyDescent="0.35">
      <c r="A39" s="5" t="s">
        <v>81</v>
      </c>
      <c r="B39" s="18" t="s">
        <v>47</v>
      </c>
      <c r="C39" s="30">
        <f>'Inland Production'!E39</f>
        <v>0</v>
      </c>
      <c r="D39" s="21">
        <f t="shared" si="0"/>
        <v>0</v>
      </c>
      <c r="E39" s="32">
        <v>150</v>
      </c>
      <c r="F39" s="19">
        <v>0</v>
      </c>
    </row>
    <row r="40" spans="1:6" x14ac:dyDescent="0.35">
      <c r="A40" s="8" t="s">
        <v>82</v>
      </c>
      <c r="B40" s="23" t="s">
        <v>47</v>
      </c>
      <c r="C40" s="30">
        <f>'Inland Production'!E40</f>
        <v>6000</v>
      </c>
      <c r="D40" s="21">
        <f t="shared" si="0"/>
        <v>9</v>
      </c>
      <c r="E40" s="32">
        <v>150</v>
      </c>
      <c r="F40" s="19">
        <v>4800</v>
      </c>
    </row>
    <row r="41" spans="1:6" x14ac:dyDescent="0.35">
      <c r="A41" s="25" t="s">
        <v>83</v>
      </c>
      <c r="B41" s="25"/>
      <c r="C41" s="26">
        <f>SUM(C5:C40)</f>
        <v>15158994</v>
      </c>
      <c r="D41" s="28">
        <f>SUM(D5:D40)</f>
        <v>22123.474107999999</v>
      </c>
      <c r="E41" s="28">
        <f>AVERAGE(E5:E40)</f>
        <v>156.64444444444445</v>
      </c>
      <c r="F41" s="26">
        <f>SUM(F5:F40)</f>
        <v>10733595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8" sqref="F8"/>
    </sheetView>
  </sheetViews>
  <sheetFormatPr defaultRowHeight="14.5" x14ac:dyDescent="0.35"/>
  <cols>
    <col min="1" max="1" width="24.1796875" customWidth="1"/>
    <col min="2" max="4" width="36" customWidth="1"/>
    <col min="5" max="6" width="40" customWidth="1"/>
    <col min="7" max="7" width="15" customWidth="1"/>
  </cols>
  <sheetData>
    <row r="1" spans="1:7" ht="21" x14ac:dyDescent="0.5">
      <c r="A1" s="2" t="s">
        <v>122</v>
      </c>
    </row>
    <row r="2" spans="1:7" ht="15.5" x14ac:dyDescent="0.35">
      <c r="A2" s="3" t="s">
        <v>123</v>
      </c>
    </row>
    <row r="4" spans="1:7" x14ac:dyDescent="0.35">
      <c r="A4" s="17" t="s">
        <v>39</v>
      </c>
      <c r="B4" s="17" t="s">
        <v>124</v>
      </c>
      <c r="C4" s="17" t="s">
        <v>125</v>
      </c>
      <c r="D4" s="17" t="s">
        <v>126</v>
      </c>
      <c r="E4" s="17" t="s">
        <v>127</v>
      </c>
      <c r="F4" s="17" t="s">
        <v>128</v>
      </c>
      <c r="G4" s="17" t="s">
        <v>40</v>
      </c>
    </row>
    <row r="5" spans="1:7" x14ac:dyDescent="0.35">
      <c r="A5" s="5" t="s">
        <v>46</v>
      </c>
      <c r="B5" s="32">
        <v>2328.89</v>
      </c>
      <c r="C5" s="32">
        <v>681.38</v>
      </c>
      <c r="D5" s="32">
        <v>444.95</v>
      </c>
      <c r="E5" s="32">
        <v>236.43</v>
      </c>
      <c r="F5" s="29">
        <v>600000</v>
      </c>
      <c r="G5" s="18" t="s">
        <v>129</v>
      </c>
    </row>
    <row r="6" spans="1:7" x14ac:dyDescent="0.35">
      <c r="A6" s="8" t="s">
        <v>48</v>
      </c>
      <c r="B6" s="32">
        <v>230.31</v>
      </c>
      <c r="C6" s="32">
        <v>159.18</v>
      </c>
      <c r="D6" s="32">
        <v>127.09</v>
      </c>
      <c r="E6" s="32">
        <v>32.19</v>
      </c>
      <c r="F6" s="29">
        <v>12100</v>
      </c>
      <c r="G6" s="23" t="s">
        <v>129</v>
      </c>
    </row>
    <row r="7" spans="1:7" x14ac:dyDescent="0.35">
      <c r="A7" s="5" t="s">
        <v>49</v>
      </c>
      <c r="B7" s="32">
        <v>541.63</v>
      </c>
      <c r="C7" s="32">
        <v>298.44</v>
      </c>
      <c r="D7" s="32">
        <v>218.51</v>
      </c>
      <c r="E7" s="32">
        <v>81.37</v>
      </c>
      <c r="F7" s="29">
        <v>581900</v>
      </c>
      <c r="G7" s="18" t="s">
        <v>129</v>
      </c>
    </row>
    <row r="8" spans="1:7" x14ac:dyDescent="0.35">
      <c r="A8" s="8" t="s">
        <v>50</v>
      </c>
      <c r="B8" s="32">
        <v>579.62</v>
      </c>
      <c r="C8" s="32">
        <v>193.12</v>
      </c>
      <c r="D8" s="32">
        <v>121.93</v>
      </c>
      <c r="E8" s="32">
        <v>71.19</v>
      </c>
      <c r="F8" s="29">
        <v>1056000</v>
      </c>
      <c r="G8" s="23" t="s">
        <v>129</v>
      </c>
    </row>
    <row r="9" spans="1:7" x14ac:dyDescent="0.35">
      <c r="A9" s="5" t="s">
        <v>51</v>
      </c>
      <c r="B9" s="32">
        <v>956.86</v>
      </c>
      <c r="C9" s="32">
        <v>321.01</v>
      </c>
      <c r="D9" s="32">
        <v>272.37</v>
      </c>
      <c r="E9" s="32">
        <v>48.64</v>
      </c>
      <c r="F9" s="29">
        <v>960300</v>
      </c>
      <c r="G9" s="18" t="s">
        <v>129</v>
      </c>
    </row>
    <row r="10" spans="1:7" x14ac:dyDescent="0.35">
      <c r="A10" s="8" t="s">
        <v>52</v>
      </c>
      <c r="B10" s="32">
        <v>147.24</v>
      </c>
      <c r="C10" s="32">
        <v>72.19</v>
      </c>
      <c r="D10" s="32">
        <v>53.05</v>
      </c>
      <c r="E10" s="32">
        <v>24.15</v>
      </c>
      <c r="F10" s="29">
        <v>9900</v>
      </c>
      <c r="G10" s="23" t="s">
        <v>129</v>
      </c>
    </row>
    <row r="11" spans="1:7" x14ac:dyDescent="0.35">
      <c r="A11" s="5" t="s">
        <v>53</v>
      </c>
      <c r="B11" s="32">
        <v>910.75</v>
      </c>
      <c r="C11" s="32">
        <v>346.74</v>
      </c>
      <c r="D11" s="32">
        <v>173.35</v>
      </c>
      <c r="E11" s="32">
        <v>173.39</v>
      </c>
      <c r="F11" s="29">
        <v>305800</v>
      </c>
      <c r="G11" s="18" t="s">
        <v>129</v>
      </c>
    </row>
    <row r="12" spans="1:7" x14ac:dyDescent="0.35">
      <c r="A12" s="8" t="s">
        <v>54</v>
      </c>
      <c r="B12" s="32">
        <v>760.87</v>
      </c>
      <c r="C12" s="32">
        <v>262.16000000000003</v>
      </c>
      <c r="D12" s="32">
        <v>162.75</v>
      </c>
      <c r="E12" s="32">
        <v>99.42</v>
      </c>
      <c r="F12" s="29">
        <v>255198</v>
      </c>
      <c r="G12" s="23" t="s">
        <v>129</v>
      </c>
    </row>
    <row r="13" spans="1:7" x14ac:dyDescent="0.35">
      <c r="A13" s="5" t="s">
        <v>55</v>
      </c>
      <c r="B13" s="32">
        <v>156.03</v>
      </c>
      <c r="C13" s="32">
        <v>79.930000000000007</v>
      </c>
      <c r="D13" s="32">
        <v>78.91</v>
      </c>
      <c r="E13" s="32">
        <v>1.03</v>
      </c>
      <c r="F13" s="29">
        <v>20900</v>
      </c>
      <c r="G13" s="18" t="s">
        <v>129</v>
      </c>
    </row>
    <row r="14" spans="1:7" x14ac:dyDescent="0.35">
      <c r="A14" s="8" t="s">
        <v>56</v>
      </c>
      <c r="B14" s="32">
        <v>154.57</v>
      </c>
      <c r="C14" s="32">
        <v>81.430000000000007</v>
      </c>
      <c r="D14" s="32">
        <v>79.61</v>
      </c>
      <c r="E14" s="32">
        <v>1.82</v>
      </c>
      <c r="F14" s="29">
        <v>31898</v>
      </c>
      <c r="G14" s="23" t="s">
        <v>129</v>
      </c>
    </row>
    <row r="15" spans="1:7" x14ac:dyDescent="0.35">
      <c r="A15" s="5" t="s">
        <v>57</v>
      </c>
      <c r="B15" s="32">
        <v>472.63</v>
      </c>
      <c r="C15" s="32">
        <v>166.58</v>
      </c>
      <c r="D15" s="32">
        <v>118.5</v>
      </c>
      <c r="E15" s="32">
        <v>50.19</v>
      </c>
      <c r="F15" s="29">
        <v>399300</v>
      </c>
      <c r="G15" s="18" t="s">
        <v>129</v>
      </c>
    </row>
    <row r="16" spans="1:7" x14ac:dyDescent="0.35">
      <c r="A16" s="8" t="s">
        <v>58</v>
      </c>
      <c r="B16" s="32">
        <v>1053.5999999999999</v>
      </c>
      <c r="C16" s="32">
        <v>380.32</v>
      </c>
      <c r="D16" s="32">
        <v>328.29</v>
      </c>
      <c r="E16" s="32">
        <v>52.03</v>
      </c>
      <c r="F16" s="29">
        <v>480700</v>
      </c>
      <c r="G16" s="23" t="s">
        <v>129</v>
      </c>
    </row>
    <row r="17" spans="1:7" x14ac:dyDescent="0.35">
      <c r="A17" s="5" t="s">
        <v>59</v>
      </c>
      <c r="B17" s="32">
        <v>1329.63</v>
      </c>
      <c r="C17" s="32">
        <v>570.49</v>
      </c>
      <c r="D17" s="32">
        <v>432.22</v>
      </c>
      <c r="E17" s="32">
        <v>138.26</v>
      </c>
      <c r="F17" s="29">
        <v>308000</v>
      </c>
      <c r="G17" s="18" t="s">
        <v>129</v>
      </c>
    </row>
    <row r="18" spans="1:7" x14ac:dyDescent="0.35">
      <c r="A18" s="8" t="s">
        <v>60</v>
      </c>
      <c r="B18" s="32">
        <v>910.81</v>
      </c>
      <c r="C18" s="32">
        <v>305.51</v>
      </c>
      <c r="D18" s="32">
        <v>292.27</v>
      </c>
      <c r="E18" s="32">
        <v>13.23</v>
      </c>
      <c r="F18" s="29">
        <v>489500</v>
      </c>
      <c r="G18" s="23" t="s">
        <v>129</v>
      </c>
    </row>
    <row r="19" spans="1:7" x14ac:dyDescent="0.35">
      <c r="A19" s="5" t="s">
        <v>61</v>
      </c>
      <c r="B19" s="32">
        <v>1601.44</v>
      </c>
      <c r="C19" s="32">
        <v>593.33000000000004</v>
      </c>
      <c r="D19" s="32">
        <v>392.11</v>
      </c>
      <c r="E19" s="32">
        <v>201.22</v>
      </c>
      <c r="F19" s="29">
        <v>298100</v>
      </c>
      <c r="G19" s="18" t="s">
        <v>129</v>
      </c>
    </row>
    <row r="20" spans="1:7" x14ac:dyDescent="0.35">
      <c r="A20" s="8" t="s">
        <v>62</v>
      </c>
      <c r="B20" s="32">
        <v>201.82</v>
      </c>
      <c r="C20" s="32">
        <v>95.84</v>
      </c>
      <c r="D20" s="32">
        <v>29.92</v>
      </c>
      <c r="E20" s="32">
        <v>65.94</v>
      </c>
      <c r="F20" s="29">
        <v>40700</v>
      </c>
      <c r="G20" s="23" t="s">
        <v>129</v>
      </c>
    </row>
    <row r="21" spans="1:7" x14ac:dyDescent="0.35">
      <c r="A21" s="5" t="s">
        <v>63</v>
      </c>
      <c r="B21" s="32">
        <v>132.62</v>
      </c>
      <c r="C21" s="32">
        <v>74.260000000000005</v>
      </c>
      <c r="D21" s="32">
        <v>65.44</v>
      </c>
      <c r="E21" s="32">
        <v>11.35</v>
      </c>
      <c r="F21" s="29">
        <v>22000</v>
      </c>
      <c r="G21" s="18" t="s">
        <v>129</v>
      </c>
    </row>
    <row r="22" spans="1:7" x14ac:dyDescent="0.35">
      <c r="A22" s="8" t="s">
        <v>64</v>
      </c>
      <c r="B22" s="32">
        <v>154.16999999999999</v>
      </c>
      <c r="C22" s="32">
        <v>85.61</v>
      </c>
      <c r="D22" s="32">
        <v>83.52</v>
      </c>
      <c r="E22" s="32">
        <v>2.73</v>
      </c>
      <c r="F22" s="29">
        <v>7700</v>
      </c>
      <c r="G22" s="23" t="s">
        <v>129</v>
      </c>
    </row>
    <row r="23" spans="1:7" x14ac:dyDescent="0.35">
      <c r="A23" s="5" t="s">
        <v>65</v>
      </c>
      <c r="B23" s="32">
        <v>168.33</v>
      </c>
      <c r="C23" s="32">
        <v>109.56</v>
      </c>
      <c r="D23" s="32">
        <v>89.17</v>
      </c>
      <c r="E23" s="32">
        <v>20.39</v>
      </c>
      <c r="F23" s="29">
        <v>12100</v>
      </c>
      <c r="G23" s="18" t="s">
        <v>129</v>
      </c>
    </row>
    <row r="24" spans="1:7" x14ac:dyDescent="0.35">
      <c r="A24" s="8" t="s">
        <v>66</v>
      </c>
      <c r="B24" s="32">
        <v>1301.19</v>
      </c>
      <c r="C24" s="32">
        <v>484.66</v>
      </c>
      <c r="D24" s="32">
        <v>361.35</v>
      </c>
      <c r="E24" s="32">
        <v>123.29</v>
      </c>
      <c r="F24" s="29">
        <v>1048298</v>
      </c>
      <c r="G24" s="23" t="s">
        <v>129</v>
      </c>
    </row>
    <row r="25" spans="1:7" x14ac:dyDescent="0.35">
      <c r="A25" s="5" t="s">
        <v>67</v>
      </c>
      <c r="B25" s="32">
        <v>162.22999999999999</v>
      </c>
      <c r="C25" s="32">
        <v>46.96</v>
      </c>
      <c r="D25" s="32">
        <v>29.46</v>
      </c>
      <c r="E25" s="32">
        <v>17.579999999999998</v>
      </c>
      <c r="F25" s="29">
        <v>24000</v>
      </c>
      <c r="G25" s="18" t="s">
        <v>129</v>
      </c>
    </row>
    <row r="26" spans="1:7" x14ac:dyDescent="0.35">
      <c r="A26" s="8" t="s">
        <v>68</v>
      </c>
      <c r="B26" s="32">
        <v>70.38</v>
      </c>
      <c r="C26" s="32">
        <v>24.53</v>
      </c>
      <c r="D26" s="32">
        <v>8.9</v>
      </c>
      <c r="E26" s="32">
        <v>15.63</v>
      </c>
      <c r="F26" s="29">
        <v>125398</v>
      </c>
      <c r="G26" s="23" t="s">
        <v>129</v>
      </c>
    </row>
    <row r="27" spans="1:7" x14ac:dyDescent="0.35">
      <c r="A27" s="5" t="s">
        <v>69</v>
      </c>
      <c r="B27" s="32">
        <v>83.68</v>
      </c>
      <c r="C27" s="32">
        <v>51.7</v>
      </c>
      <c r="D27" s="32">
        <v>43.98</v>
      </c>
      <c r="E27" s="32">
        <v>7.68</v>
      </c>
      <c r="F27" s="29">
        <v>1100</v>
      </c>
      <c r="G27" s="18" t="s">
        <v>129</v>
      </c>
    </row>
    <row r="28" spans="1:7" x14ac:dyDescent="0.35">
      <c r="A28" s="8" t="s">
        <v>70</v>
      </c>
      <c r="B28" s="32">
        <v>1236.21</v>
      </c>
      <c r="C28" s="32">
        <v>474.99</v>
      </c>
      <c r="D28" s="32">
        <v>223.02</v>
      </c>
      <c r="E28" s="32">
        <v>253.12</v>
      </c>
      <c r="F28" s="29">
        <v>293700</v>
      </c>
      <c r="G28" s="23" t="s">
        <v>129</v>
      </c>
    </row>
    <row r="29" spans="1:7" x14ac:dyDescent="0.35">
      <c r="A29" s="5" t="s">
        <v>71</v>
      </c>
      <c r="B29" s="32">
        <v>353.02</v>
      </c>
      <c r="C29" s="32">
        <v>112.69</v>
      </c>
      <c r="D29" s="32">
        <v>41.19</v>
      </c>
      <c r="E29" s="32">
        <v>71.5</v>
      </c>
      <c r="F29" s="19">
        <v>336000</v>
      </c>
      <c r="G29" s="18" t="s">
        <v>129</v>
      </c>
    </row>
    <row r="30" spans="1:7" x14ac:dyDescent="0.35">
      <c r="A30" s="8" t="s">
        <v>72</v>
      </c>
      <c r="B30" s="32">
        <v>262.93</v>
      </c>
      <c r="C30" s="32">
        <v>150.6</v>
      </c>
      <c r="D30" s="32">
        <v>91.45</v>
      </c>
      <c r="E30" s="32">
        <v>59.14</v>
      </c>
      <c r="F30" s="29">
        <v>97900</v>
      </c>
      <c r="G30" s="23" t="s">
        <v>129</v>
      </c>
    </row>
    <row r="31" spans="1:7" x14ac:dyDescent="0.35">
      <c r="A31" s="5" t="s">
        <v>73</v>
      </c>
      <c r="B31" s="32">
        <v>317.25</v>
      </c>
      <c r="C31" s="32">
        <v>170.2</v>
      </c>
      <c r="D31" s="32">
        <v>166.68</v>
      </c>
      <c r="E31" s="32">
        <v>3.53</v>
      </c>
      <c r="F31" s="29">
        <v>11000</v>
      </c>
      <c r="G31" s="18" t="s">
        <v>129</v>
      </c>
    </row>
    <row r="32" spans="1:7" x14ac:dyDescent="0.35">
      <c r="A32" s="8" t="s">
        <v>74</v>
      </c>
      <c r="B32" s="32">
        <v>1294.32</v>
      </c>
      <c r="C32" s="32">
        <v>412.3</v>
      </c>
      <c r="D32" s="32">
        <v>336.61</v>
      </c>
      <c r="E32" s="32">
        <v>75.69</v>
      </c>
      <c r="F32" s="29">
        <v>1464100</v>
      </c>
      <c r="G32" s="23" t="s">
        <v>129</v>
      </c>
    </row>
    <row r="33" spans="1:7" x14ac:dyDescent="0.35">
      <c r="A33" s="5" t="s">
        <v>75</v>
      </c>
      <c r="B33" s="32">
        <v>546.38</v>
      </c>
      <c r="C33" s="32">
        <v>223.19</v>
      </c>
      <c r="D33" s="32">
        <v>87.04</v>
      </c>
      <c r="E33" s="32">
        <v>136.21</v>
      </c>
      <c r="F33" s="29">
        <v>2207700</v>
      </c>
      <c r="G33" s="18" t="s">
        <v>129</v>
      </c>
    </row>
    <row r="34" spans="1:7" x14ac:dyDescent="0.35">
      <c r="A34" s="8" t="s">
        <v>76</v>
      </c>
      <c r="B34" s="32">
        <v>269.83999999999997</v>
      </c>
      <c r="C34" s="32">
        <v>245.33</v>
      </c>
      <c r="D34" s="32">
        <v>17.09</v>
      </c>
      <c r="E34" s="32">
        <v>228.24</v>
      </c>
      <c r="F34" s="29">
        <v>1100</v>
      </c>
      <c r="G34" s="23" t="s">
        <v>129</v>
      </c>
    </row>
    <row r="35" spans="1:7" x14ac:dyDescent="0.35">
      <c r="A35" s="5" t="s">
        <v>77</v>
      </c>
      <c r="B35" s="32">
        <v>0</v>
      </c>
      <c r="C35" s="32">
        <v>0</v>
      </c>
      <c r="D35" s="32">
        <v>0</v>
      </c>
      <c r="E35" s="32">
        <v>0</v>
      </c>
      <c r="F35" s="29">
        <v>0</v>
      </c>
      <c r="G35" s="18" t="s">
        <v>129</v>
      </c>
    </row>
    <row r="36" spans="1:7" x14ac:dyDescent="0.35">
      <c r="A36" s="8" t="s">
        <v>78</v>
      </c>
      <c r="B36" s="32">
        <v>6.31</v>
      </c>
      <c r="C36" s="32">
        <v>3.58</v>
      </c>
      <c r="D36" s="32">
        <v>1.79</v>
      </c>
      <c r="E36" s="32">
        <v>1.79</v>
      </c>
      <c r="F36" s="29">
        <v>0</v>
      </c>
      <c r="G36" s="23" t="s">
        <v>129</v>
      </c>
    </row>
    <row r="37" spans="1:7" x14ac:dyDescent="0.35">
      <c r="A37" s="5" t="s">
        <v>79</v>
      </c>
      <c r="B37" s="32">
        <v>5.33</v>
      </c>
      <c r="C37" s="32">
        <v>2.86</v>
      </c>
      <c r="D37" s="32">
        <v>1.63</v>
      </c>
      <c r="E37" s="32">
        <v>1.23</v>
      </c>
      <c r="F37" s="29">
        <v>1100</v>
      </c>
      <c r="G37" s="18" t="s">
        <v>129</v>
      </c>
    </row>
    <row r="38" spans="1:7" x14ac:dyDescent="0.35">
      <c r="A38" s="8" t="s">
        <v>80</v>
      </c>
      <c r="B38" s="32">
        <v>33.49</v>
      </c>
      <c r="C38" s="32">
        <v>20.100000000000001</v>
      </c>
      <c r="D38" s="32">
        <v>12.17</v>
      </c>
      <c r="E38" s="32">
        <v>7.93</v>
      </c>
      <c r="F38" s="29">
        <v>0</v>
      </c>
      <c r="G38" s="23" t="s">
        <v>129</v>
      </c>
    </row>
    <row r="39" spans="1:7" x14ac:dyDescent="0.35">
      <c r="A39" s="5" t="s">
        <v>81</v>
      </c>
      <c r="B39" s="32">
        <v>62.45</v>
      </c>
      <c r="C39" s="32">
        <v>44.22</v>
      </c>
      <c r="D39" s="32">
        <v>14.42</v>
      </c>
      <c r="E39" s="32">
        <v>29.8</v>
      </c>
      <c r="F39" s="29">
        <v>0</v>
      </c>
      <c r="G39" s="18" t="s">
        <v>129</v>
      </c>
    </row>
    <row r="40" spans="1:7" x14ac:dyDescent="0.35">
      <c r="A40" s="8" t="s">
        <v>82</v>
      </c>
      <c r="B40" s="32">
        <v>351.26</v>
      </c>
      <c r="C40" s="32">
        <v>296.44</v>
      </c>
      <c r="D40" s="32">
        <v>92.4</v>
      </c>
      <c r="E40" s="32">
        <v>204.04</v>
      </c>
      <c r="F40" s="29">
        <v>6600</v>
      </c>
      <c r="G40" s="23" t="s">
        <v>129</v>
      </c>
    </row>
    <row r="41" spans="1:7" x14ac:dyDescent="0.35">
      <c r="A41" s="24" t="s">
        <v>83</v>
      </c>
      <c r="B41" s="28">
        <f>SUM(B5:B40)</f>
        <v>19148.090000000004</v>
      </c>
      <c r="C41" s="28">
        <f>SUM(C5:C40)</f>
        <v>7641.4299999999985</v>
      </c>
      <c r="D41" s="28">
        <f>SUM(D5:D40)</f>
        <v>5093.1399999999994</v>
      </c>
      <c r="E41" s="28">
        <f>SUM(E5:E40)</f>
        <v>2561.37</v>
      </c>
      <c r="F41" s="26">
        <f>SUM(F5:F40)</f>
        <v>11510092</v>
      </c>
      <c r="G41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of Contents</vt:lpstr>
      <vt:lpstr>Inland Production</vt:lpstr>
      <vt:lpstr>Inland Water Resources</vt:lpstr>
      <vt:lpstr>Aquaculture Infrastructure</vt:lpstr>
      <vt:lpstr>Fish Seed Production</vt:lpstr>
      <vt:lpstr>Species-wise Production</vt:lpstr>
      <vt:lpstr>Economics</vt:lpstr>
      <vt:lpstr>Government 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Jaiswal</cp:lastModifiedBy>
  <dcterms:created xsi:type="dcterms:W3CDTF">2026-08-22T06:07:37Z</dcterms:created>
  <dcterms:modified xsi:type="dcterms:W3CDTF">2026-08-22T02:17:21Z</dcterms:modified>
</cp:coreProperties>
</file>