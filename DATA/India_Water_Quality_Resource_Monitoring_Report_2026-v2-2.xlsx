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_Water_Bodies" sheetId="1" state="visible" r:id="rId3"/>
    <sheet name="Water_Quality" sheetId="2" state="visible" r:id="rId4"/>
    <sheet name="State_Quality_Summary" sheetId="3" state="visible" r:id="rId5"/>
    <sheet name="State_Intelligence" sheetId="4" state="visible" r:id="rId6"/>
    <sheet name="Reference_Standards" sheetId="5" state="visible" r:id="rId7"/>
    <sheet name="Source_Meta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4" authorId="0">
      <text>
        <r>
          <rPr>
            <sz val="10"/>
            <rFont val="Arial"/>
            <family val="2"/>
          </rPr>
          <t xml:space="preserve">Back-derived as (implied total samples tested) minus Moderate/Poor/Critical Sites, so Good/(Good+Poor) matches the Overall Status contamination %. The source model does not expose a separate 'Total Samples Tested' column, so this could not be a live formula; it is a computed value consistent with the other columns in each row.</t>
        </r>
      </text>
    </comment>
  </commentList>
</comments>
</file>

<file path=xl/sharedStrings.xml><?xml version="1.0" encoding="utf-8"?>
<sst xmlns="http://schemas.openxmlformats.org/spreadsheetml/2006/main" count="4511" uniqueCount="400">
  <si>
    <t xml:space="preserve">India Water Quality and Resource Monitoring - Water Bodies Registry</t>
  </si>
  <si>
    <t xml:space="preserve">State-wise inventory of monitored reservoirs, ponds, and hydrological network stations (2021-2026)</t>
  </si>
  <si>
    <t xml:space="preserve">Year</t>
  </si>
  <si>
    <t xml:space="preserve">State</t>
  </si>
  <si>
    <t xml:space="preserve">Region</t>
  </si>
  <si>
    <t xml:space="preserve">District</t>
  </si>
  <si>
    <t xml:space="preserve">Water Body Type</t>
  </si>
  <si>
    <t xml:space="preserve">Water Body Name</t>
  </si>
  <si>
    <t xml:space="preserve">Water Body ID</t>
  </si>
  <si>
    <t xml:space="preserve">Area (Sqkm)</t>
  </si>
  <si>
    <t xml:space="preserve">Storage Capacity (T.M.C.)</t>
  </si>
  <si>
    <t xml:space="preserve">Monitoring Sites</t>
  </si>
  <si>
    <t xml:space="preserve">Source</t>
  </si>
  <si>
    <t xml:space="preserve">Andhra Pradesh</t>
  </si>
  <si>
    <t xml:space="preserve">Rayalaseema</t>
  </si>
  <si>
    <t xml:space="preserve">Nandyal</t>
  </si>
  <si>
    <t xml:space="preserve">Reservoir (Major)</t>
  </si>
  <si>
    <t xml:space="preserve">Srisailam Reservoir</t>
  </si>
  <si>
    <t xml:space="preserve">AP-RES-001</t>
  </si>
  <si>
    <t xml:space="preserve">-</t>
  </si>
  <si>
    <t xml:space="preserve">APWRIMS Portal</t>
  </si>
  <si>
    <t xml:space="preserve">Palnadu</t>
  </si>
  <si>
    <t xml:space="preserve">Nagarjuna Sagar</t>
  </si>
  <si>
    <t xml:space="preserve">AP-RES-002</t>
  </si>
  <si>
    <t xml:space="preserve">Sri Potti Sriramulu Nellore</t>
  </si>
  <si>
    <t xml:space="preserve">Somasila Reservoir</t>
  </si>
  <si>
    <t xml:space="preserve">AP-RES-003</t>
  </si>
  <si>
    <t xml:space="preserve">Kandaleru Reservoir</t>
  </si>
  <si>
    <t xml:space="preserve">AP-RES-004</t>
  </si>
  <si>
    <t xml:space="preserve">Y.S.R Kadapa</t>
  </si>
  <si>
    <t xml:space="preserve">Brahmamsagar Reservoir</t>
  </si>
  <si>
    <t xml:space="preserve">AP-RES-005</t>
  </si>
  <si>
    <t xml:space="preserve">Coastal Andhra</t>
  </si>
  <si>
    <t xml:space="preserve">Alluri Sitharama Raju</t>
  </si>
  <si>
    <t xml:space="preserve">Donkarayi Reservoir</t>
  </si>
  <si>
    <t xml:space="preserve">AP-RES-006</t>
  </si>
  <si>
    <t xml:space="preserve">Gandikota Reservoir</t>
  </si>
  <si>
    <t xml:space="preserve">AP-RES-007</t>
  </si>
  <si>
    <t xml:space="preserve">Haryana</t>
  </si>
  <si>
    <t xml:space="preserve">North</t>
  </si>
  <si>
    <t xml:space="preserve">All Districts</t>
  </si>
  <si>
    <t xml:space="preserve">Pond Authority Network</t>
  </si>
  <si>
    <t xml:space="preserve">Government Ponds</t>
  </si>
  <si>
    <t xml:space="preserve">HR-PND-001</t>
  </si>
  <si>
    <t xml:space="preserve">OneMap Haryana SWIC</t>
  </si>
  <si>
    <t xml:space="preserve">Private Ponds</t>
  </si>
  <si>
    <t xml:space="preserve">HR-PND-002</t>
  </si>
  <si>
    <t xml:space="preserve">Other &amp; Historic Ponds</t>
  </si>
  <si>
    <t xml:space="preserve">HR-PND-003</t>
  </si>
  <si>
    <t xml:space="preserve">Odisha</t>
  </si>
  <si>
    <t xml:space="preserve">East</t>
  </si>
  <si>
    <t xml:space="preserve">State-wide</t>
  </si>
  <si>
    <t xml:space="preserve">Groundwater Station Network</t>
  </si>
  <si>
    <t xml:space="preserve">CGWB Monitoring Wells</t>
  </si>
  <si>
    <t xml:space="preserve">OD-GW-ALL</t>
  </si>
  <si>
    <t xml:space="preserve">Odisha SWIC Dashboard</t>
  </si>
  <si>
    <t xml:space="preserve">Surface Station Network</t>
  </si>
  <si>
    <t xml:space="preserve">Central River Gauges</t>
  </si>
  <si>
    <t xml:space="preserve">OD-SW-ALL</t>
  </si>
  <si>
    <t xml:space="preserve">SCADA Systems</t>
  </si>
  <si>
    <t xml:space="preserve">Reservoir Automation</t>
  </si>
  <si>
    <t xml:space="preserve">OD-SCA-ALL</t>
  </si>
  <si>
    <t xml:space="preserve">Uttarakhand</t>
  </si>
  <si>
    <t xml:space="preserve">CPCB Main-stem Stations</t>
  </si>
  <si>
    <t xml:space="preserve">River Ganga Stations</t>
  </si>
  <si>
    <t xml:space="preserve">UT-GNG-ALL</t>
  </si>
  <si>
    <t xml:space="preserve">CPCB Dashboard</t>
  </si>
  <si>
    <t xml:space="preserve">Uttar Pradesh</t>
  </si>
  <si>
    <t xml:space="preserve">UP-GNG-ALL</t>
  </si>
  <si>
    <t xml:space="preserve">Bihar</t>
  </si>
  <si>
    <t xml:space="preserve">BH-GNG-ALL</t>
  </si>
  <si>
    <t xml:space="preserve">Jharkhand</t>
  </si>
  <si>
    <t xml:space="preserve">JH-GNG-ALL</t>
  </si>
  <si>
    <t xml:space="preserve">West Bengal</t>
  </si>
  <si>
    <t xml:space="preserve">WB-GNG-ALL</t>
  </si>
  <si>
    <t xml:space="preserve">India Water Quality Monitoring - Ground and Surface Water Sample Analysis</t>
  </si>
  <si>
    <t xml:space="preserve">Physical and chemical water quality measurements from CPCB real-time stations and CGWB district monitoring</t>
  </si>
  <si>
    <t xml:space="preserve">Monitoring Date</t>
  </si>
  <si>
    <t xml:space="preserve">Parameter</t>
  </si>
  <si>
    <t xml:space="preserve">Value</t>
  </si>
  <si>
    <t xml:space="preserve">Unit</t>
  </si>
  <si>
    <t xml:space="preserve">Standard Limit</t>
  </si>
  <si>
    <t xml:space="preserve">Quality Status</t>
  </si>
  <si>
    <t xml:space="preserve">2021-08-28</t>
  </si>
  <si>
    <t xml:space="preserve">Buxar</t>
  </si>
  <si>
    <t xml:space="preserve">River Ganga at Chausa</t>
  </si>
  <si>
    <t xml:space="preserve">BH72</t>
  </si>
  <si>
    <t xml:space="preserve">River</t>
  </si>
  <si>
    <t xml:space="preserve">pH</t>
  </si>
  <si>
    <t xml:space="preserve">SU</t>
  </si>
  <si>
    <t xml:space="preserve">6.5-8.5</t>
  </si>
  <si>
    <t xml:space="preserve">Within Limits</t>
  </si>
  <si>
    <t xml:space="preserve">Dissolved Oxygen (DO)</t>
  </si>
  <si>
    <t xml:space="preserve">mg/l</t>
  </si>
  <si>
    <t xml:space="preserve">&gt;= 4.0</t>
  </si>
  <si>
    <t xml:space="preserve">Biochemical Oxygen Demand (BOD)</t>
  </si>
  <si>
    <t xml:space="preserve">&lt;= 3.0</t>
  </si>
  <si>
    <t xml:space="preserve">Critical Exceedance</t>
  </si>
  <si>
    <t xml:space="preserve">Chemical Oxygen Demand (COD)</t>
  </si>
  <si>
    <t xml:space="preserve">&lt;= 25.0</t>
  </si>
  <si>
    <t xml:space="preserve">2020-08-10</t>
  </si>
  <si>
    <t xml:space="preserve">District Aquifers</t>
  </si>
  <si>
    <t xml:space="preserve">AP-GW-001</t>
  </si>
  <si>
    <t xml:space="preserve">Groundwater</t>
  </si>
  <si>
    <t xml:space="preserve">Nitrate</t>
  </si>
  <si>
    <t xml:space="preserve">mg/L</t>
  </si>
  <si>
    <t xml:space="preserve">&lt;= 45</t>
  </si>
  <si>
    <t xml:space="preserve">CGWB Report</t>
  </si>
  <si>
    <t xml:space="preserve">Telangana</t>
  </si>
  <si>
    <t xml:space="preserve">Nagarkurnool</t>
  </si>
  <si>
    <t xml:space="preserve">TG-GW-001</t>
  </si>
  <si>
    <t xml:space="preserve">Karnataka</t>
  </si>
  <si>
    <t xml:space="preserve">Chitradurga</t>
  </si>
  <si>
    <t xml:space="preserve">KA-GW-001</t>
  </si>
  <si>
    <t xml:space="preserve">Rajasthan</t>
  </si>
  <si>
    <t xml:space="preserve">Churu</t>
  </si>
  <si>
    <t xml:space="preserve">RJ-GW-001</t>
  </si>
  <si>
    <t xml:space="preserve">Nadia</t>
  </si>
  <si>
    <t xml:space="preserve">WB-GW-001</t>
  </si>
  <si>
    <t xml:space="preserve">Arsenic</t>
  </si>
  <si>
    <t xml:space="preserve">ppb</t>
  </si>
  <si>
    <t xml:space="preserve">&lt;= 10</t>
  </si>
  <si>
    <t xml:space="preserve">Murshidabad</t>
  </si>
  <si>
    <t xml:space="preserve">WB-GW-002</t>
  </si>
  <si>
    <t xml:space="preserve">BH-GW-001</t>
  </si>
  <si>
    <t xml:space="preserve">Sirsa</t>
  </si>
  <si>
    <t xml:space="preserve">HR-GW-001</t>
  </si>
  <si>
    <t xml:space="preserve">Fluoride</t>
  </si>
  <si>
    <t xml:space="preserve">&lt;= 1.5</t>
  </si>
  <si>
    <t xml:space="preserve">Jind</t>
  </si>
  <si>
    <t xml:space="preserve">HR-GW-002</t>
  </si>
  <si>
    <t xml:space="preserve">Jodhpur</t>
  </si>
  <si>
    <t xml:space="preserve">RJ-GW-002</t>
  </si>
  <si>
    <t xml:space="preserve">Uranium</t>
  </si>
  <si>
    <t xml:space="preserve">&lt;= 30</t>
  </si>
  <si>
    <t xml:space="preserve">Tumkur</t>
  </si>
  <si>
    <t xml:space="preserve">KA-GW-002</t>
  </si>
  <si>
    <t xml:space="preserve">Chitrakoot</t>
  </si>
  <si>
    <t xml:space="preserve">UP-GW-001</t>
  </si>
  <si>
    <t xml:space="preserve">Manganese</t>
  </si>
  <si>
    <t xml:space="preserve">&lt;= 0.3</t>
  </si>
  <si>
    <t xml:space="preserve">Jammu &amp; Kashmir</t>
  </si>
  <si>
    <t xml:space="preserve">Jammu</t>
  </si>
  <si>
    <t xml:space="preserve">JK-GW-001</t>
  </si>
  <si>
    <t xml:space="preserve">Raichur</t>
  </si>
  <si>
    <t xml:space="preserve">KA-GW-003</t>
  </si>
  <si>
    <t xml:space="preserve">Lead</t>
  </si>
  <si>
    <t xml:space="preserve">&lt;= 0.01</t>
  </si>
  <si>
    <t xml:space="preserve">Tamil Nadu</t>
  </si>
  <si>
    <t xml:space="preserve">Pudukkottai</t>
  </si>
  <si>
    <t xml:space="preserve">TN-GW-001</t>
  </si>
  <si>
    <t xml:space="preserve">Zinc</t>
  </si>
  <si>
    <t xml:space="preserve">&lt;= 15.0</t>
  </si>
  <si>
    <t xml:space="preserve">2022-08-28</t>
  </si>
  <si>
    <t xml:space="preserve">2021-08-10</t>
  </si>
  <si>
    <t xml:space="preserve">2023-08-28</t>
  </si>
  <si>
    <t xml:space="preserve">2022-08-10</t>
  </si>
  <si>
    <t xml:space="preserve">2024-08-28</t>
  </si>
  <si>
    <t xml:space="preserve">2023-08-10</t>
  </si>
  <si>
    <t xml:space="preserve">2025-08-28</t>
  </si>
  <si>
    <t xml:space="preserve">2024-08-10</t>
  </si>
  <si>
    <t xml:space="preserve">2026-08-28</t>
  </si>
  <si>
    <t xml:space="preserve">2025-08-10</t>
  </si>
  <si>
    <t xml:space="preserve">India State-wise Water Quality Summary</t>
  </si>
  <si>
    <t xml:space="preserve">Consolidated average water chemistry indices and official sample testing performance statistics (2021-2026)</t>
  </si>
  <si>
    <t xml:space="preserve">Average pH</t>
  </si>
  <si>
    <t xml:space="preserve">Average DO (mg/l)</t>
  </si>
  <si>
    <t xml:space="preserve">Average BOD (mg/l)</t>
  </si>
  <si>
    <t xml:space="preserve">Average COD (mg/l)</t>
  </si>
  <si>
    <t xml:space="preserve">Average TDS (mg/l)</t>
  </si>
  <si>
    <t xml:space="preserve">Average Turbidity (NTU)</t>
  </si>
  <si>
    <t xml:space="preserve">Good Sites (Tested)</t>
  </si>
  <si>
    <t xml:space="preserve">Moderate Sites</t>
  </si>
  <si>
    <t xml:space="preserve">Poor Sites (Contaminated)</t>
  </si>
  <si>
    <t xml:space="preserve">Critical Sites</t>
  </si>
  <si>
    <t xml:space="preserve">Overall Status</t>
  </si>
  <si>
    <t xml:space="preserve">Andaman &amp; Nicobar Islands</t>
  </si>
  <si>
    <t xml:space="preserve">UT</t>
  </si>
  <si>
    <t xml:space="preserve">Drinking Water Sources</t>
  </si>
  <si>
    <t xml:space="preserve">Safe (0.25% Contam.)</t>
  </si>
  <si>
    <t xml:space="preserve">South</t>
  </si>
  <si>
    <t xml:space="preserve">Excellent (Zero Lab Contam.)</t>
  </si>
  <si>
    <t xml:space="preserve">Arunachal Pradesh</t>
  </si>
  <si>
    <t xml:space="preserve">North East</t>
  </si>
  <si>
    <t xml:space="preserve">Assam</t>
  </si>
  <si>
    <t xml:space="preserve">Safe (0.78% Contam.)</t>
  </si>
  <si>
    <t xml:space="preserve">Safe (0.02% Contam.)</t>
  </si>
  <si>
    <t xml:space="preserve">Chhattisgarh</t>
  </si>
  <si>
    <t xml:space="preserve">Central</t>
  </si>
  <si>
    <t xml:space="preserve">Safe (0.09% Contam.)</t>
  </si>
  <si>
    <t xml:space="preserve">Dadra &amp; Nagar Haveli And Daman &amp; Diu</t>
  </si>
  <si>
    <t xml:space="preserve">Goa</t>
  </si>
  <si>
    <t xml:space="preserve">West</t>
  </si>
  <si>
    <t xml:space="preserve">Safe (0.64% Contam.)</t>
  </si>
  <si>
    <t xml:space="preserve">Gujarat</t>
  </si>
  <si>
    <t xml:space="preserve">Safe (0.34% Contam.)</t>
  </si>
  <si>
    <t xml:space="preserve">Poor Quality (9.92%)</t>
  </si>
  <si>
    <t xml:space="preserve">Himachal Pradesh</t>
  </si>
  <si>
    <t xml:space="preserve">Safe (0.07% Contam.)</t>
  </si>
  <si>
    <t xml:space="preserve">Moderately Safe (4.49%)</t>
  </si>
  <si>
    <t xml:space="preserve">Kerala</t>
  </si>
  <si>
    <t xml:space="preserve">Poor Quality (8.58%)</t>
  </si>
  <si>
    <t xml:space="preserve">Ladakh</t>
  </si>
  <si>
    <t xml:space="preserve">Moderately Safe (2.31%)</t>
  </si>
  <si>
    <t xml:space="preserve">Lakshadweep</t>
  </si>
  <si>
    <t xml:space="preserve">Safe (0.08% Contam.)</t>
  </si>
  <si>
    <t xml:space="preserve">Madhya Pradesh</t>
  </si>
  <si>
    <t xml:space="preserve">Safe (0.03% Contam.)</t>
  </si>
  <si>
    <t xml:space="preserve">Maharashtra</t>
  </si>
  <si>
    <t xml:space="preserve">Moderately Safe (4.76%)</t>
  </si>
  <si>
    <t xml:space="preserve">Manipur</t>
  </si>
  <si>
    <t xml:space="preserve">Meghalaya</t>
  </si>
  <si>
    <t xml:space="preserve">Safe (0.50% Contam.)</t>
  </si>
  <si>
    <t xml:space="preserve">Mizoram</t>
  </si>
  <si>
    <t xml:space="preserve">Poor Quality (5.24%)</t>
  </si>
  <si>
    <t xml:space="preserve">Nagaland</t>
  </si>
  <si>
    <t xml:space="preserve">Safe (0.99% Contam.)</t>
  </si>
  <si>
    <t xml:space="preserve">Puducherry</t>
  </si>
  <si>
    <t xml:space="preserve">Punjab</t>
  </si>
  <si>
    <t xml:space="preserve">Moderately Safe (1.21%)</t>
  </si>
  <si>
    <t xml:space="preserve">Poor Quality (11.17%)</t>
  </si>
  <si>
    <t xml:space="preserve">Sikkim</t>
  </si>
  <si>
    <t xml:space="preserve">Poor Quality (79.20%)</t>
  </si>
  <si>
    <t xml:space="preserve">Tripura</t>
  </si>
  <si>
    <t xml:space="preserve">Safe (0.11% Contam.)</t>
  </si>
  <si>
    <t xml:space="preserve">Safe (0.83% Contam.)</t>
  </si>
  <si>
    <t xml:space="preserve">Moderately Safe (1.12%)</t>
  </si>
  <si>
    <t xml:space="preserve">Poor Quality (22.05%)</t>
  </si>
  <si>
    <t xml:space="preserve">Safe (0.94% Contam.)</t>
  </si>
  <si>
    <t xml:space="preserve">Safe (0.62% Contam.)</t>
  </si>
  <si>
    <t xml:space="preserve">Safe (0.30% Contam.)</t>
  </si>
  <si>
    <t xml:space="preserve">Poor Quality (9.16%)</t>
  </si>
  <si>
    <t xml:space="preserve">Moderately Safe (3.95%)</t>
  </si>
  <si>
    <t xml:space="preserve">Poor Quality (10.64%)</t>
  </si>
  <si>
    <t xml:space="preserve">Moderately Safe (2.05%)</t>
  </si>
  <si>
    <t xml:space="preserve">Moderately Safe (3.94%)</t>
  </si>
  <si>
    <t xml:space="preserve">Safe (0.47% Contam.)</t>
  </si>
  <si>
    <t xml:space="preserve">Poor Quality (5.00%)</t>
  </si>
  <si>
    <t xml:space="preserve">Safe (0.96% Contam.)</t>
  </si>
  <si>
    <t xml:space="preserve">Moderately Safe (1.09%)</t>
  </si>
  <si>
    <t xml:space="preserve">Poor Quality (9.61%)</t>
  </si>
  <si>
    <t xml:space="preserve">Poor Quality (86.28%)</t>
  </si>
  <si>
    <t xml:space="preserve">Safe (0.10% Contam.)</t>
  </si>
  <si>
    <t xml:space="preserve">Safe (0.75% Contam.)</t>
  </si>
  <si>
    <t xml:space="preserve">Moderately Safe (1.37%)</t>
  </si>
  <si>
    <t xml:space="preserve">Poor Quality (17.85%)</t>
  </si>
  <si>
    <t xml:space="preserve">Safe (0.23% Contam.)</t>
  </si>
  <si>
    <t xml:space="preserve">Safe (0.71% Contam.)</t>
  </si>
  <si>
    <t xml:space="preserve">Safe (0.53% Contam.)</t>
  </si>
  <si>
    <t xml:space="preserve">Safe (0.33% Contam.)</t>
  </si>
  <si>
    <t xml:space="preserve">Poor Quality (8.11%)</t>
  </si>
  <si>
    <t xml:space="preserve">Moderately Safe (3.56%)</t>
  </si>
  <si>
    <t xml:space="preserve">Poor Quality (10.55%)</t>
  </si>
  <si>
    <t xml:space="preserve">Moderately Safe (1.93%)</t>
  </si>
  <si>
    <t xml:space="preserve">Moderately Safe (4.17%)</t>
  </si>
  <si>
    <t xml:space="preserve">Safe (0.48% Contam.)</t>
  </si>
  <si>
    <t xml:space="preserve">Poor Quality (6.01%)</t>
  </si>
  <si>
    <t xml:space="preserve">Moderately Safe (1.07%)</t>
  </si>
  <si>
    <t xml:space="preserve">Poor Quality (11.47%)</t>
  </si>
  <si>
    <t xml:space="preserve">Poor Quality (87.51%)</t>
  </si>
  <si>
    <t xml:space="preserve">Safe (0.12% Contam.)</t>
  </si>
  <si>
    <t xml:space="preserve">Safe (0.66% Contam.)</t>
  </si>
  <si>
    <t xml:space="preserve">Moderately Safe (1.24%)</t>
  </si>
  <si>
    <t xml:space="preserve">Poor Quality (19.71%)</t>
  </si>
  <si>
    <t xml:space="preserve">Safe (0.84% Contam.)</t>
  </si>
  <si>
    <t xml:space="preserve">Safe (0.60% Contam.)</t>
  </si>
  <si>
    <t xml:space="preserve">Safe (0.32% Contam.)</t>
  </si>
  <si>
    <t xml:space="preserve">Poor Quality (8.90%)</t>
  </si>
  <si>
    <t xml:space="preserve">Moderately Safe (4.33%)</t>
  </si>
  <si>
    <t xml:space="preserve">Poor Quality (10.59%)</t>
  </si>
  <si>
    <t xml:space="preserve">Moderately Safe (2.04%)</t>
  </si>
  <si>
    <t xml:space="preserve">Moderately Safe (3.78%)</t>
  </si>
  <si>
    <t xml:space="preserve">Safe (0.44% Contam.)</t>
  </si>
  <si>
    <t xml:space="preserve">Poor Quality (5.71%)</t>
  </si>
  <si>
    <t xml:space="preserve">Moderately Safe (1.06%)</t>
  </si>
  <si>
    <t xml:space="preserve">Poor Quality (9.27%)</t>
  </si>
  <si>
    <t xml:space="preserve">Poor Quality (80.59%)</t>
  </si>
  <si>
    <t xml:space="preserve">Poor Quality (18.87%)</t>
  </si>
  <si>
    <t xml:space="preserve">Safe (0.24% Contam.)</t>
  </si>
  <si>
    <t xml:space="preserve">Safe (0.82% Contam.)</t>
  </si>
  <si>
    <t xml:space="preserve">Poor Quality (7.81%)</t>
  </si>
  <si>
    <t xml:space="preserve">Moderately Safe (4.22%)</t>
  </si>
  <si>
    <t xml:space="preserve">Poor Quality (10.31%)</t>
  </si>
  <si>
    <t xml:space="preserve">Moderately Safe (2.46%)</t>
  </si>
  <si>
    <t xml:space="preserve">Moderately Safe (4.31%)</t>
  </si>
  <si>
    <t xml:space="preserve">Poor Quality (5.98%)</t>
  </si>
  <si>
    <t xml:space="preserve">Moderately Safe (1.34%)</t>
  </si>
  <si>
    <t xml:space="preserve">Poor Quality (10.10%)</t>
  </si>
  <si>
    <t xml:space="preserve">Poor Quality (95.00%)</t>
  </si>
  <si>
    <t xml:space="preserve">Safe (0.81% Contam.)</t>
  </si>
  <si>
    <t xml:space="preserve">Poor Quality (19.73%)</t>
  </si>
  <si>
    <t xml:space="preserve">Safe (0.57% Contam.)</t>
  </si>
  <si>
    <t xml:space="preserve">Safe (0.31% Contam.)</t>
  </si>
  <si>
    <t xml:space="preserve">Poor Quality (8.95%)</t>
  </si>
  <si>
    <t xml:space="preserve">Moderately Safe (3.99%)</t>
  </si>
  <si>
    <t xml:space="preserve">Poor Quality (9.66%)</t>
  </si>
  <si>
    <t xml:space="preserve">Moderately Safe (2.17%)</t>
  </si>
  <si>
    <t xml:space="preserve">Moderately Safe (4.44%)</t>
  </si>
  <si>
    <t xml:space="preserve">Safe (0.45% Contam.)</t>
  </si>
  <si>
    <t xml:space="preserve">Poor Quality (5.33%)</t>
  </si>
  <si>
    <t xml:space="preserve">Moderately Safe (1.17%)</t>
  </si>
  <si>
    <t xml:space="preserve">Poor Quality (10.26%)</t>
  </si>
  <si>
    <t xml:space="preserve">Poor Quality (86.72%)</t>
  </si>
  <si>
    <t xml:space="preserve">Poor Quality (19.18%)</t>
  </si>
  <si>
    <t xml:space="preserve">Grand Total</t>
  </si>
  <si>
    <t xml:space="preserve">India Water Resources State Intelligence Profile</t>
  </si>
  <si>
    <t xml:space="preserve">Strategic dashboard mapping regional assets, monitoring footprints, and chemical compliance percentiles (2021-2026)</t>
  </si>
  <si>
    <t xml:space="preserve">Total Water Bodies</t>
  </si>
  <si>
    <t xml:space="preserve">Total Ponds</t>
  </si>
  <si>
    <t xml:space="preserve">Total Rivers</t>
  </si>
  <si>
    <t xml:space="preserve">Total Lakes</t>
  </si>
  <si>
    <t xml:space="preserve">Total Reservoirs</t>
  </si>
  <si>
    <t xml:space="preserve">Good Quality %</t>
  </si>
  <si>
    <t xml:space="preserve">Moderate Quality %</t>
  </si>
  <si>
    <t xml:space="preserve">Poor Quality %</t>
  </si>
  <si>
    <t xml:space="preserve">Critical Quality %</t>
  </si>
  <si>
    <t xml:space="preserve">Overall Water Quality Status</t>
  </si>
  <si>
    <t xml:space="preserve">Bureau of Indian Standards (BIS) Water Quality Reference Criteria</t>
  </si>
  <si>
    <t xml:space="preserve">Mandatory limits and thresholds for drinking water parameters checked against IS 10500:2012</t>
  </si>
  <si>
    <t xml:space="preserve">Minimum Limit</t>
  </si>
  <si>
    <t xml:space="preserve">Maximum Limit</t>
  </si>
  <si>
    <t xml:space="preserve">Quality Category</t>
  </si>
  <si>
    <t xml:space="preserve">Standard/Guideline</t>
  </si>
  <si>
    <t xml:space="preserve">Physicochemical</t>
  </si>
  <si>
    <t xml:space="preserve">BIS IS 10500:2012</t>
  </si>
  <si>
    <t xml:space="preserve">Bureau of Indian Standards</t>
  </si>
  <si>
    <t xml:space="preserve">Chemical Contaminant</t>
  </si>
  <si>
    <t xml:space="preserve">BIS IS 10500:2012 Permissible Limit</t>
  </si>
  <si>
    <t xml:space="preserve">BIS IS 10500:2012 Acceptable Limit</t>
  </si>
  <si>
    <t xml:space="preserve">Iron</t>
  </si>
  <si>
    <t xml:space="preserve">Toxic Heavy Metal</t>
  </si>
  <si>
    <t xml:space="preserve">BIS IS 10500:2012 Safe Limit</t>
  </si>
  <si>
    <t xml:space="preserve">Radiological/Toxic Heavy Metal</t>
  </si>
  <si>
    <t xml:space="preserve">Salinity (EC)</t>
  </si>
  <si>
    <t xml:space="preserve">µS/cm</t>
  </si>
  <si>
    <t xml:space="preserve">Physicochemical Index</t>
  </si>
  <si>
    <t xml:space="preserve">BIS IS 10500:2012 Desirable Limit</t>
  </si>
  <si>
    <t xml:space="preserve">Organic Health Index</t>
  </si>
  <si>
    <t xml:space="preserve">CPCB Class B River Standards</t>
  </si>
  <si>
    <t xml:space="preserve">CPCB Guidelines</t>
  </si>
  <si>
    <t xml:space="preserve">Organic Pollution Index</t>
  </si>
  <si>
    <t xml:space="preserve">BIS Effluent Discharge Standards</t>
  </si>
  <si>
    <t xml:space="preserve">Water Informatics Data Source Registries and Metadata</t>
  </si>
  <si>
    <t xml:space="preserve">Comprehensive documentation of integrated central and state data repositories</t>
  </si>
  <si>
    <t xml:space="preserve">Dataset Name</t>
  </si>
  <si>
    <t xml:space="preserve">Source Organization</t>
  </si>
  <si>
    <t xml:space="preserve">Source Reference</t>
  </si>
  <si>
    <t xml:space="preserve">Geographic Level</t>
  </si>
  <si>
    <t xml:space="preserve">State Coverage</t>
  </si>
  <si>
    <t xml:space="preserve">District Coverage</t>
  </si>
  <si>
    <t xml:space="preserve">Data Collection Method</t>
  </si>
  <si>
    <t xml:space="preserve">Notes</t>
  </si>
  <si>
    <t xml:space="preserve">CGWB Ground Water Quality Reports</t>
  </si>
  <si>
    <t xml:space="preserve">Central Ground Water Board</t>
  </si>
  <si>
    <t xml:space="preserve">Ministry of Jal Shakti, Government of India</t>
  </si>
  <si>
    <t xml:space="preserve">2024 &amp; 2025</t>
  </si>
  <si>
    <t xml:space="preserve">District-wise</t>
  </si>
  <si>
    <t xml:space="preserve">All India States</t>
  </si>
  <si>
    <t xml:space="preserve">755 Districts</t>
  </si>
  <si>
    <t xml:space="preserve">Manual Well Samples (15,259 locations)</t>
  </si>
  <si>
    <t xml:space="preserve">Covers 9 specific chemical contaminants &amp; heavy metals checked against BIS Limits.</t>
  </si>
  <si>
    <t xml:space="preserve">JJM WQMIS Drinking Water Testing</t>
  </si>
  <si>
    <t xml:space="preserve">Department of Drinking Water &amp; Sanitation</t>
  </si>
  <si>
    <t xml:space="preserve">National Water Quality Management Info System (DDWS)</t>
  </si>
  <si>
    <t xml:space="preserve">2026-2027</t>
  </si>
  <si>
    <t xml:space="preserve">State-wise</t>
  </si>
  <si>
    <t xml:space="preserve">National Level</t>
  </si>
  <si>
    <t xml:space="preserve">Laboratory (2,850 labs) and Field Testing Kits</t>
  </si>
  <si>
    <t xml:space="preserve">Includes testing status of over 2.7 million samples and 4.7 million FTK tests.</t>
  </si>
  <si>
    <t xml:space="preserve">APWRIMS Reservoir Storage Summary</t>
  </si>
  <si>
    <t xml:space="preserve">Andhra Pradesh Water Resources Department</t>
  </si>
  <si>
    <t xml:space="preserve">APWRIMS Dashboard, Andhra Pradesh</t>
  </si>
  <si>
    <t xml:space="preserve">2025 &amp; 2026</t>
  </si>
  <si>
    <t xml:space="preserve">All AP Districts</t>
  </si>
  <si>
    <t xml:space="preserve">Real-time automated level telemetries (RTDAS)</t>
  </si>
  <si>
    <t xml:space="preserve">Includes hourly flow calculations for Major and Medium dams in Godavari, Krishna, Pennar basins.</t>
  </si>
  <si>
    <t xml:space="preserve">OneMap Haryana SWIC Database</t>
  </si>
  <si>
    <t xml:space="preserve">Haryana Space Applications Centre (HARSAC)</t>
  </si>
  <si>
    <t xml:space="preserve">HARSAC &amp; Pond Authority, Haryana</t>
  </si>
  <si>
    <t xml:space="preserve">2021 &amp; 2026</t>
  </si>
  <si>
    <t xml:space="preserve">Village-wise</t>
  </si>
  <si>
    <t xml:space="preserve">All Haryana Districts</t>
  </si>
  <si>
    <t xml:space="preserve">GIS and satellite classification (Kharif, Ponds)</t>
  </si>
  <si>
    <t xml:space="preserve">Maps spatial layouts of 40,822 state ponds and working piezometric well levels.</t>
  </si>
  <si>
    <t xml:space="preserve">CPCB River Ganga Main Stem PRS</t>
  </si>
  <si>
    <t xml:space="preserve">Central Pollution Control Board</t>
  </si>
  <si>
    <t xml:space="preserve">Namami Gange Project Status / PIB Release</t>
  </si>
  <si>
    <t xml:space="preserve">2018 &amp; 2025</t>
  </si>
  <si>
    <t xml:space="preserve">River Stretch</t>
  </si>
  <si>
    <t xml:space="preserve">5 Ganga States</t>
  </si>
  <si>
    <t xml:space="preserve">State boundaries</t>
  </si>
  <si>
    <t xml:space="preserve">Manual Grab Samples (112 CPCB stations)</t>
  </si>
  <si>
    <t xml:space="preserve">Monitors BOD, COD, and DO levels on river stretches, tracking pollution reduction progress.</t>
  </si>
  <si>
    <t xml:space="preserve">Karnataka Water Resources System</t>
  </si>
  <si>
    <t xml:space="preserve">Karnataka Water Resources Department</t>
  </si>
  <si>
    <t xml:space="preserve">KWRIS Geoportal (ACIWRM / KSWIC)</t>
  </si>
  <si>
    <t xml:space="preserve">River Basin &amp; district</t>
  </si>
  <si>
    <t xml:space="preserve">All Karnataka Districts</t>
  </si>
  <si>
    <t xml:space="preserve">Real-time automated telemetry and satellite tracking</t>
  </si>
  <si>
    <t xml:space="preserve">Integrates daily upstream Cauvery basin storages, rainfall, and soil moistures.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</si>
</sst>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"/>
    <numFmt numFmtId="167" formatCode="0.00%"/>
  </numFmts>
  <fonts count="11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Verdana"/>
      <family val="0"/>
      <charset val="1"/>
    </font>
    <font>
      <i val="true"/>
      <sz val="11"/>
      <color rgb="FFFFFFFF"/>
      <name val="Verdana"/>
      <family val="0"/>
      <charset val="1"/>
    </font>
    <font>
      <b val="true"/>
      <sz val="11"/>
      <color rgb="FFFFFFFF"/>
      <name val="Verdana"/>
      <family val="0"/>
      <charset val="1"/>
    </font>
    <font>
      <sz val="10"/>
      <color rgb="FF000000"/>
      <name val="Verdana"/>
      <family val="0"/>
      <charset val="1"/>
    </font>
    <font>
      <b val="true"/>
      <sz val="10"/>
      <color rgb="FF000000"/>
      <name val="Verdana"/>
      <family val="0"/>
      <charset val="1"/>
    </font>
    <font>
      <sz val="10"/>
      <name val="Arial"/>
      <family val="2"/>
    </font>
    <font>
      <sz val="10"/>
      <name val="Verdan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97D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01"/>
    <col collapsed="false" customWidth="true" hidden="false" outlineLevel="0" max="3" min="2" style="1" width="17"/>
    <col collapsed="false" customWidth="true" hidden="false" outlineLevel="0" max="5" min="4" style="1" width="30"/>
    <col collapsed="false" customWidth="true" hidden="false" outlineLevel="0" max="6" min="6" style="1" width="25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28"/>
    <col collapsed="false" customWidth="true" hidden="false" outlineLevel="0" max="10" min="10" style="1" width="19"/>
    <col collapsed="false" customWidth="true" hidden="false" outlineLevel="0" max="11" min="11" style="1" width="2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5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9.5" hidden="false" customHeight="true" outlineLevel="0" collapsed="false">
      <c r="A5" s="5" t="n">
        <v>2021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5" t="s">
        <v>18</v>
      </c>
      <c r="H5" s="7" t="s">
        <v>19</v>
      </c>
      <c r="I5" s="7" t="n">
        <v>215.81</v>
      </c>
      <c r="J5" s="8" t="n">
        <v>1</v>
      </c>
      <c r="K5" s="5" t="s">
        <v>20</v>
      </c>
    </row>
    <row r="6" customFormat="false" ht="19.5" hidden="false" customHeight="true" outlineLevel="0" collapsed="false">
      <c r="A6" s="9" t="n">
        <v>2021</v>
      </c>
      <c r="B6" s="10" t="s">
        <v>13</v>
      </c>
      <c r="C6" s="10" t="s">
        <v>14</v>
      </c>
      <c r="D6" s="10" t="s">
        <v>21</v>
      </c>
      <c r="E6" s="10" t="s">
        <v>16</v>
      </c>
      <c r="F6" s="10" t="s">
        <v>22</v>
      </c>
      <c r="G6" s="9" t="s">
        <v>23</v>
      </c>
      <c r="H6" s="11" t="s">
        <v>19</v>
      </c>
      <c r="I6" s="11" t="n">
        <v>312.05</v>
      </c>
      <c r="J6" s="12" t="n">
        <v>1</v>
      </c>
      <c r="K6" s="9" t="s">
        <v>20</v>
      </c>
    </row>
    <row r="7" customFormat="false" ht="19.5" hidden="false" customHeight="true" outlineLevel="0" collapsed="false">
      <c r="A7" s="5" t="n">
        <v>2021</v>
      </c>
      <c r="B7" s="6" t="s">
        <v>13</v>
      </c>
      <c r="C7" s="6" t="s">
        <v>14</v>
      </c>
      <c r="D7" s="6" t="s">
        <v>24</v>
      </c>
      <c r="E7" s="6" t="s">
        <v>16</v>
      </c>
      <c r="F7" s="6" t="s">
        <v>25</v>
      </c>
      <c r="G7" s="5" t="s">
        <v>26</v>
      </c>
      <c r="H7" s="7" t="s">
        <v>19</v>
      </c>
      <c r="I7" s="7" t="n">
        <v>78</v>
      </c>
      <c r="J7" s="8" t="n">
        <v>1</v>
      </c>
      <c r="K7" s="5" t="s">
        <v>20</v>
      </c>
    </row>
    <row r="8" customFormat="false" ht="19.5" hidden="false" customHeight="true" outlineLevel="0" collapsed="false">
      <c r="A8" s="9" t="n">
        <v>2021</v>
      </c>
      <c r="B8" s="10" t="s">
        <v>13</v>
      </c>
      <c r="C8" s="10" t="s">
        <v>14</v>
      </c>
      <c r="D8" s="10" t="s">
        <v>24</v>
      </c>
      <c r="E8" s="10" t="s">
        <v>16</v>
      </c>
      <c r="F8" s="10" t="s">
        <v>27</v>
      </c>
      <c r="G8" s="9" t="s">
        <v>28</v>
      </c>
      <c r="H8" s="11" t="s">
        <v>19</v>
      </c>
      <c r="I8" s="11" t="n">
        <v>68.03</v>
      </c>
      <c r="J8" s="12" t="n">
        <v>1</v>
      </c>
      <c r="K8" s="9" t="s">
        <v>20</v>
      </c>
    </row>
    <row r="9" customFormat="false" ht="19.5" hidden="false" customHeight="true" outlineLevel="0" collapsed="false">
      <c r="A9" s="5" t="n">
        <v>2021</v>
      </c>
      <c r="B9" s="6" t="s">
        <v>13</v>
      </c>
      <c r="C9" s="6" t="s">
        <v>14</v>
      </c>
      <c r="D9" s="6" t="s">
        <v>29</v>
      </c>
      <c r="E9" s="6" t="s">
        <v>16</v>
      </c>
      <c r="F9" s="6" t="s">
        <v>30</v>
      </c>
      <c r="G9" s="5" t="s">
        <v>31</v>
      </c>
      <c r="H9" s="7" t="s">
        <v>19</v>
      </c>
      <c r="I9" s="7" t="n">
        <v>17.74</v>
      </c>
      <c r="J9" s="8" t="n">
        <v>1</v>
      </c>
      <c r="K9" s="5" t="s">
        <v>20</v>
      </c>
    </row>
    <row r="10" customFormat="false" ht="19.5" hidden="false" customHeight="true" outlineLevel="0" collapsed="false">
      <c r="A10" s="9" t="n">
        <v>2021</v>
      </c>
      <c r="B10" s="10" t="s">
        <v>13</v>
      </c>
      <c r="C10" s="10" t="s">
        <v>32</v>
      </c>
      <c r="D10" s="10" t="s">
        <v>33</v>
      </c>
      <c r="E10" s="10" t="s">
        <v>16</v>
      </c>
      <c r="F10" s="10" t="s">
        <v>34</v>
      </c>
      <c r="G10" s="9" t="s">
        <v>35</v>
      </c>
      <c r="H10" s="11" t="s">
        <v>19</v>
      </c>
      <c r="I10" s="11" t="n">
        <v>16.51</v>
      </c>
      <c r="J10" s="12" t="n">
        <v>1</v>
      </c>
      <c r="K10" s="9" t="s">
        <v>20</v>
      </c>
    </row>
    <row r="11" customFormat="false" ht="19.5" hidden="false" customHeight="true" outlineLevel="0" collapsed="false">
      <c r="A11" s="5" t="n">
        <v>2021</v>
      </c>
      <c r="B11" s="6" t="s">
        <v>13</v>
      </c>
      <c r="C11" s="6" t="s">
        <v>14</v>
      </c>
      <c r="D11" s="6" t="s">
        <v>29</v>
      </c>
      <c r="E11" s="6" t="s">
        <v>16</v>
      </c>
      <c r="F11" s="6" t="s">
        <v>36</v>
      </c>
      <c r="G11" s="5" t="s">
        <v>37</v>
      </c>
      <c r="H11" s="7" t="s">
        <v>19</v>
      </c>
      <c r="I11" s="7" t="n">
        <v>26.85</v>
      </c>
      <c r="J11" s="8" t="n">
        <v>1</v>
      </c>
      <c r="K11" s="5" t="s">
        <v>20</v>
      </c>
    </row>
    <row r="12" customFormat="false" ht="19.5" hidden="false" customHeight="true" outlineLevel="0" collapsed="false">
      <c r="A12" s="9" t="n">
        <v>2021</v>
      </c>
      <c r="B12" s="10" t="s">
        <v>38</v>
      </c>
      <c r="C12" s="10" t="s">
        <v>39</v>
      </c>
      <c r="D12" s="10" t="s">
        <v>40</v>
      </c>
      <c r="E12" s="10" t="s">
        <v>41</v>
      </c>
      <c r="F12" s="10" t="s">
        <v>42</v>
      </c>
      <c r="G12" s="9" t="s">
        <v>43</v>
      </c>
      <c r="H12" s="11" t="s">
        <v>19</v>
      </c>
      <c r="I12" s="11" t="s">
        <v>19</v>
      </c>
      <c r="J12" s="12" t="n">
        <v>13722</v>
      </c>
      <c r="K12" s="9" t="s">
        <v>44</v>
      </c>
    </row>
    <row r="13" customFormat="false" ht="19.5" hidden="false" customHeight="true" outlineLevel="0" collapsed="false">
      <c r="A13" s="5" t="n">
        <v>2021</v>
      </c>
      <c r="B13" s="6" t="s">
        <v>38</v>
      </c>
      <c r="C13" s="6" t="s">
        <v>39</v>
      </c>
      <c r="D13" s="6" t="s">
        <v>40</v>
      </c>
      <c r="E13" s="6" t="s">
        <v>41</v>
      </c>
      <c r="F13" s="6" t="s">
        <v>45</v>
      </c>
      <c r="G13" s="5" t="s">
        <v>46</v>
      </c>
      <c r="H13" s="7" t="s">
        <v>19</v>
      </c>
      <c r="I13" s="7" t="s">
        <v>19</v>
      </c>
      <c r="J13" s="8" t="n">
        <v>6139</v>
      </c>
      <c r="K13" s="5" t="s">
        <v>44</v>
      </c>
    </row>
    <row r="14" customFormat="false" ht="19.5" hidden="false" customHeight="true" outlineLevel="0" collapsed="false">
      <c r="A14" s="9" t="n">
        <v>2021</v>
      </c>
      <c r="B14" s="10" t="s">
        <v>38</v>
      </c>
      <c r="C14" s="10" t="s">
        <v>39</v>
      </c>
      <c r="D14" s="10" t="s">
        <v>40</v>
      </c>
      <c r="E14" s="10" t="s">
        <v>41</v>
      </c>
      <c r="F14" s="10" t="s">
        <v>47</v>
      </c>
      <c r="G14" s="9" t="s">
        <v>48</v>
      </c>
      <c r="H14" s="11" t="s">
        <v>19</v>
      </c>
      <c r="I14" s="11" t="s">
        <v>19</v>
      </c>
      <c r="J14" s="12" t="n">
        <v>10574</v>
      </c>
      <c r="K14" s="9" t="s">
        <v>44</v>
      </c>
    </row>
    <row r="15" customFormat="false" ht="19.5" hidden="false" customHeight="true" outlineLevel="0" collapsed="false">
      <c r="A15" s="5" t="n">
        <v>2021</v>
      </c>
      <c r="B15" s="6" t="s">
        <v>49</v>
      </c>
      <c r="C15" s="6" t="s">
        <v>50</v>
      </c>
      <c r="D15" s="6" t="s">
        <v>51</v>
      </c>
      <c r="E15" s="6" t="s">
        <v>52</v>
      </c>
      <c r="F15" s="6" t="s">
        <v>53</v>
      </c>
      <c r="G15" s="5" t="s">
        <v>54</v>
      </c>
      <c r="H15" s="7" t="s">
        <v>19</v>
      </c>
      <c r="I15" s="7" t="s">
        <v>19</v>
      </c>
      <c r="J15" s="8" t="n">
        <v>789</v>
      </c>
      <c r="K15" s="5" t="s">
        <v>55</v>
      </c>
    </row>
    <row r="16" customFormat="false" ht="19.5" hidden="false" customHeight="true" outlineLevel="0" collapsed="false">
      <c r="A16" s="9" t="n">
        <v>2021</v>
      </c>
      <c r="B16" s="10" t="s">
        <v>49</v>
      </c>
      <c r="C16" s="10" t="s">
        <v>50</v>
      </c>
      <c r="D16" s="10" t="s">
        <v>51</v>
      </c>
      <c r="E16" s="10" t="s">
        <v>56</v>
      </c>
      <c r="F16" s="10" t="s">
        <v>57</v>
      </c>
      <c r="G16" s="9" t="s">
        <v>58</v>
      </c>
      <c r="H16" s="11" t="s">
        <v>19</v>
      </c>
      <c r="I16" s="11" t="s">
        <v>19</v>
      </c>
      <c r="J16" s="12" t="n">
        <v>205</v>
      </c>
      <c r="K16" s="9" t="s">
        <v>55</v>
      </c>
    </row>
    <row r="17" customFormat="false" ht="19.5" hidden="false" customHeight="true" outlineLevel="0" collapsed="false">
      <c r="A17" s="5" t="n">
        <v>2021</v>
      </c>
      <c r="B17" s="6" t="s">
        <v>49</v>
      </c>
      <c r="C17" s="6" t="s">
        <v>50</v>
      </c>
      <c r="D17" s="6" t="s">
        <v>51</v>
      </c>
      <c r="E17" s="6" t="s">
        <v>59</v>
      </c>
      <c r="F17" s="6" t="s">
        <v>60</v>
      </c>
      <c r="G17" s="5" t="s">
        <v>61</v>
      </c>
      <c r="H17" s="7" t="s">
        <v>19</v>
      </c>
      <c r="I17" s="7" t="s">
        <v>19</v>
      </c>
      <c r="J17" s="8" t="n">
        <v>2</v>
      </c>
      <c r="K17" s="5" t="s">
        <v>55</v>
      </c>
    </row>
    <row r="18" customFormat="false" ht="19.5" hidden="false" customHeight="true" outlineLevel="0" collapsed="false">
      <c r="A18" s="9" t="n">
        <v>2021</v>
      </c>
      <c r="B18" s="10" t="s">
        <v>62</v>
      </c>
      <c r="C18" s="10" t="s">
        <v>39</v>
      </c>
      <c r="D18" s="10" t="s">
        <v>51</v>
      </c>
      <c r="E18" s="10" t="s">
        <v>63</v>
      </c>
      <c r="F18" s="10" t="s">
        <v>64</v>
      </c>
      <c r="G18" s="9" t="s">
        <v>65</v>
      </c>
      <c r="H18" s="11" t="s">
        <v>19</v>
      </c>
      <c r="I18" s="11" t="s">
        <v>19</v>
      </c>
      <c r="J18" s="12" t="n">
        <v>15</v>
      </c>
      <c r="K18" s="9" t="s">
        <v>66</v>
      </c>
    </row>
    <row r="19" customFormat="false" ht="19.5" hidden="false" customHeight="true" outlineLevel="0" collapsed="false">
      <c r="A19" s="5" t="n">
        <v>2021</v>
      </c>
      <c r="B19" s="6" t="s">
        <v>67</v>
      </c>
      <c r="C19" s="6" t="s">
        <v>39</v>
      </c>
      <c r="D19" s="6" t="s">
        <v>51</v>
      </c>
      <c r="E19" s="6" t="s">
        <v>63</v>
      </c>
      <c r="F19" s="6" t="s">
        <v>64</v>
      </c>
      <c r="G19" s="5" t="s">
        <v>68</v>
      </c>
      <c r="H19" s="7" t="s">
        <v>19</v>
      </c>
      <c r="I19" s="7" t="s">
        <v>19</v>
      </c>
      <c r="J19" s="8" t="n">
        <v>30</v>
      </c>
      <c r="K19" s="5" t="s">
        <v>66</v>
      </c>
    </row>
    <row r="20" customFormat="false" ht="19.5" hidden="false" customHeight="true" outlineLevel="0" collapsed="false">
      <c r="A20" s="9" t="n">
        <v>2021</v>
      </c>
      <c r="B20" s="10" t="s">
        <v>69</v>
      </c>
      <c r="C20" s="10" t="s">
        <v>50</v>
      </c>
      <c r="D20" s="10" t="s">
        <v>51</v>
      </c>
      <c r="E20" s="10" t="s">
        <v>63</v>
      </c>
      <c r="F20" s="10" t="s">
        <v>64</v>
      </c>
      <c r="G20" s="9" t="s">
        <v>70</v>
      </c>
      <c r="H20" s="11" t="s">
        <v>19</v>
      </c>
      <c r="I20" s="11" t="s">
        <v>19</v>
      </c>
      <c r="J20" s="12" t="n">
        <v>24</v>
      </c>
      <c r="K20" s="9" t="s">
        <v>66</v>
      </c>
    </row>
    <row r="21" customFormat="false" ht="19.5" hidden="false" customHeight="true" outlineLevel="0" collapsed="false">
      <c r="A21" s="5" t="n">
        <v>2021</v>
      </c>
      <c r="B21" s="6" t="s">
        <v>71</v>
      </c>
      <c r="C21" s="6" t="s">
        <v>50</v>
      </c>
      <c r="D21" s="6" t="s">
        <v>51</v>
      </c>
      <c r="E21" s="6" t="s">
        <v>63</v>
      </c>
      <c r="F21" s="6" t="s">
        <v>64</v>
      </c>
      <c r="G21" s="5" t="s">
        <v>72</v>
      </c>
      <c r="H21" s="7" t="s">
        <v>19</v>
      </c>
      <c r="I21" s="7" t="s">
        <v>19</v>
      </c>
      <c r="J21" s="8" t="n">
        <v>3</v>
      </c>
      <c r="K21" s="5" t="s">
        <v>66</v>
      </c>
    </row>
    <row r="22" customFormat="false" ht="19.5" hidden="false" customHeight="true" outlineLevel="0" collapsed="false">
      <c r="A22" s="9" t="n">
        <v>2021</v>
      </c>
      <c r="B22" s="10" t="s">
        <v>73</v>
      </c>
      <c r="C22" s="10" t="s">
        <v>50</v>
      </c>
      <c r="D22" s="10" t="s">
        <v>51</v>
      </c>
      <c r="E22" s="10" t="s">
        <v>63</v>
      </c>
      <c r="F22" s="10" t="s">
        <v>64</v>
      </c>
      <c r="G22" s="9" t="s">
        <v>74</v>
      </c>
      <c r="H22" s="11" t="s">
        <v>19</v>
      </c>
      <c r="I22" s="11" t="s">
        <v>19</v>
      </c>
      <c r="J22" s="12" t="n">
        <v>11</v>
      </c>
      <c r="K22" s="9" t="s">
        <v>66</v>
      </c>
    </row>
    <row r="23" customFormat="false" ht="15.75" hidden="false" customHeight="true" outlineLevel="0" collapsed="false">
      <c r="A23" s="13" t="n">
        <v>2022</v>
      </c>
      <c r="B23" s="13" t="s">
        <v>13</v>
      </c>
      <c r="C23" s="13" t="s">
        <v>14</v>
      </c>
      <c r="D23" s="13" t="s">
        <v>15</v>
      </c>
      <c r="E23" s="13" t="s">
        <v>16</v>
      </c>
      <c r="F23" s="13" t="s">
        <v>17</v>
      </c>
      <c r="G23" s="13" t="s">
        <v>18</v>
      </c>
      <c r="H23" s="14" t="s">
        <v>19</v>
      </c>
      <c r="I23" s="14" t="n">
        <v>215.81</v>
      </c>
      <c r="J23" s="15" t="n">
        <v>1</v>
      </c>
      <c r="K23" s="13" t="s">
        <v>20</v>
      </c>
    </row>
    <row r="24" customFormat="false" ht="15.75" hidden="false" customHeight="true" outlineLevel="0" collapsed="false">
      <c r="A24" s="16" t="n">
        <v>2022</v>
      </c>
      <c r="B24" s="16" t="s">
        <v>13</v>
      </c>
      <c r="C24" s="16" t="s">
        <v>14</v>
      </c>
      <c r="D24" s="16" t="s">
        <v>21</v>
      </c>
      <c r="E24" s="16" t="s">
        <v>16</v>
      </c>
      <c r="F24" s="16" t="s">
        <v>22</v>
      </c>
      <c r="G24" s="16" t="s">
        <v>23</v>
      </c>
      <c r="H24" s="17" t="s">
        <v>19</v>
      </c>
      <c r="I24" s="17" t="n">
        <v>312.05</v>
      </c>
      <c r="J24" s="18" t="n">
        <v>1</v>
      </c>
      <c r="K24" s="16" t="s">
        <v>20</v>
      </c>
    </row>
    <row r="25" customFormat="false" ht="15.75" hidden="false" customHeight="true" outlineLevel="0" collapsed="false">
      <c r="A25" s="13" t="n">
        <v>2022</v>
      </c>
      <c r="B25" s="13" t="s">
        <v>13</v>
      </c>
      <c r="C25" s="13" t="s">
        <v>14</v>
      </c>
      <c r="D25" s="13" t="s">
        <v>24</v>
      </c>
      <c r="E25" s="13" t="s">
        <v>16</v>
      </c>
      <c r="F25" s="13" t="s">
        <v>25</v>
      </c>
      <c r="G25" s="13" t="s">
        <v>26</v>
      </c>
      <c r="H25" s="14" t="s">
        <v>19</v>
      </c>
      <c r="I25" s="14" t="n">
        <v>78</v>
      </c>
      <c r="J25" s="15" t="n">
        <v>1</v>
      </c>
      <c r="K25" s="13" t="s">
        <v>20</v>
      </c>
    </row>
    <row r="26" customFormat="false" ht="15.75" hidden="false" customHeight="true" outlineLevel="0" collapsed="false">
      <c r="A26" s="16" t="n">
        <v>2022</v>
      </c>
      <c r="B26" s="16" t="s">
        <v>13</v>
      </c>
      <c r="C26" s="16" t="s">
        <v>14</v>
      </c>
      <c r="D26" s="16" t="s">
        <v>24</v>
      </c>
      <c r="E26" s="16" t="s">
        <v>16</v>
      </c>
      <c r="F26" s="16" t="s">
        <v>27</v>
      </c>
      <c r="G26" s="16" t="s">
        <v>28</v>
      </c>
      <c r="H26" s="17" t="s">
        <v>19</v>
      </c>
      <c r="I26" s="17" t="n">
        <v>68.03</v>
      </c>
      <c r="J26" s="18" t="n">
        <v>1</v>
      </c>
      <c r="K26" s="16" t="s">
        <v>20</v>
      </c>
    </row>
    <row r="27" customFormat="false" ht="15.75" hidden="false" customHeight="true" outlineLevel="0" collapsed="false">
      <c r="A27" s="13" t="n">
        <v>2022</v>
      </c>
      <c r="B27" s="13" t="s">
        <v>13</v>
      </c>
      <c r="C27" s="13" t="s">
        <v>14</v>
      </c>
      <c r="D27" s="13" t="s">
        <v>29</v>
      </c>
      <c r="E27" s="13" t="s">
        <v>16</v>
      </c>
      <c r="F27" s="13" t="s">
        <v>30</v>
      </c>
      <c r="G27" s="13" t="s">
        <v>31</v>
      </c>
      <c r="H27" s="14" t="s">
        <v>19</v>
      </c>
      <c r="I27" s="14" t="n">
        <v>17.74</v>
      </c>
      <c r="J27" s="15" t="n">
        <v>1</v>
      </c>
      <c r="K27" s="13" t="s">
        <v>20</v>
      </c>
    </row>
    <row r="28" customFormat="false" ht="15.75" hidden="false" customHeight="true" outlineLevel="0" collapsed="false">
      <c r="A28" s="16" t="n">
        <v>2022</v>
      </c>
      <c r="B28" s="16" t="s">
        <v>13</v>
      </c>
      <c r="C28" s="16" t="s">
        <v>32</v>
      </c>
      <c r="D28" s="16" t="s">
        <v>33</v>
      </c>
      <c r="E28" s="16" t="s">
        <v>16</v>
      </c>
      <c r="F28" s="16" t="s">
        <v>34</v>
      </c>
      <c r="G28" s="16" t="s">
        <v>35</v>
      </c>
      <c r="H28" s="17" t="s">
        <v>19</v>
      </c>
      <c r="I28" s="17" t="n">
        <v>16.51</v>
      </c>
      <c r="J28" s="18" t="n">
        <v>1</v>
      </c>
      <c r="K28" s="16" t="s">
        <v>20</v>
      </c>
    </row>
    <row r="29" customFormat="false" ht="15.75" hidden="false" customHeight="true" outlineLevel="0" collapsed="false">
      <c r="A29" s="13" t="n">
        <v>2022</v>
      </c>
      <c r="B29" s="13" t="s">
        <v>13</v>
      </c>
      <c r="C29" s="13" t="s">
        <v>14</v>
      </c>
      <c r="D29" s="13" t="s">
        <v>29</v>
      </c>
      <c r="E29" s="13" t="s">
        <v>16</v>
      </c>
      <c r="F29" s="13" t="s">
        <v>36</v>
      </c>
      <c r="G29" s="13" t="s">
        <v>37</v>
      </c>
      <c r="H29" s="14" t="s">
        <v>19</v>
      </c>
      <c r="I29" s="14" t="n">
        <v>26.85</v>
      </c>
      <c r="J29" s="15" t="n">
        <v>1</v>
      </c>
      <c r="K29" s="13" t="s">
        <v>20</v>
      </c>
    </row>
    <row r="30" customFormat="false" ht="15.75" hidden="false" customHeight="true" outlineLevel="0" collapsed="false">
      <c r="A30" s="16" t="n">
        <v>2022</v>
      </c>
      <c r="B30" s="16" t="s">
        <v>38</v>
      </c>
      <c r="C30" s="16" t="s">
        <v>39</v>
      </c>
      <c r="D30" s="16" t="s">
        <v>40</v>
      </c>
      <c r="E30" s="16" t="s">
        <v>41</v>
      </c>
      <c r="F30" s="16" t="s">
        <v>42</v>
      </c>
      <c r="G30" s="16" t="s">
        <v>43</v>
      </c>
      <c r="H30" s="17" t="s">
        <v>19</v>
      </c>
      <c r="I30" s="17" t="s">
        <v>19</v>
      </c>
      <c r="J30" s="18" t="n">
        <v>15162</v>
      </c>
      <c r="K30" s="16" t="s">
        <v>44</v>
      </c>
    </row>
    <row r="31" customFormat="false" ht="15.75" hidden="false" customHeight="true" outlineLevel="0" collapsed="false">
      <c r="A31" s="13" t="n">
        <v>2022</v>
      </c>
      <c r="B31" s="13" t="s">
        <v>38</v>
      </c>
      <c r="C31" s="13" t="s">
        <v>39</v>
      </c>
      <c r="D31" s="13" t="s">
        <v>40</v>
      </c>
      <c r="E31" s="13" t="s">
        <v>41</v>
      </c>
      <c r="F31" s="13" t="s">
        <v>45</v>
      </c>
      <c r="G31" s="13" t="s">
        <v>46</v>
      </c>
      <c r="H31" s="14" t="s">
        <v>19</v>
      </c>
      <c r="I31" s="14" t="s">
        <v>19</v>
      </c>
      <c r="J31" s="15" t="n">
        <v>6733</v>
      </c>
      <c r="K31" s="13" t="s">
        <v>44</v>
      </c>
    </row>
    <row r="32" customFormat="false" ht="15.75" hidden="false" customHeight="true" outlineLevel="0" collapsed="false">
      <c r="A32" s="16" t="n">
        <v>2022</v>
      </c>
      <c r="B32" s="16" t="s">
        <v>38</v>
      </c>
      <c r="C32" s="16" t="s">
        <v>39</v>
      </c>
      <c r="D32" s="16" t="s">
        <v>40</v>
      </c>
      <c r="E32" s="16" t="s">
        <v>41</v>
      </c>
      <c r="F32" s="16" t="s">
        <v>47</v>
      </c>
      <c r="G32" s="16" t="s">
        <v>48</v>
      </c>
      <c r="H32" s="17" t="s">
        <v>19</v>
      </c>
      <c r="I32" s="17" t="s">
        <v>19</v>
      </c>
      <c r="J32" s="18" t="n">
        <v>11634</v>
      </c>
      <c r="K32" s="16" t="s">
        <v>44</v>
      </c>
    </row>
    <row r="33" customFormat="false" ht="15.75" hidden="false" customHeight="true" outlineLevel="0" collapsed="false">
      <c r="A33" s="13" t="n">
        <v>2022</v>
      </c>
      <c r="B33" s="13" t="s">
        <v>49</v>
      </c>
      <c r="C33" s="13" t="s">
        <v>50</v>
      </c>
      <c r="D33" s="13" t="s">
        <v>51</v>
      </c>
      <c r="E33" s="13" t="s">
        <v>52</v>
      </c>
      <c r="F33" s="13" t="s">
        <v>53</v>
      </c>
      <c r="G33" s="13" t="s">
        <v>54</v>
      </c>
      <c r="H33" s="14" t="s">
        <v>19</v>
      </c>
      <c r="I33" s="14" t="s">
        <v>19</v>
      </c>
      <c r="J33" s="15" t="n">
        <v>876</v>
      </c>
      <c r="K33" s="13" t="s">
        <v>55</v>
      </c>
    </row>
    <row r="34" customFormat="false" ht="15.75" hidden="false" customHeight="true" outlineLevel="0" collapsed="false">
      <c r="A34" s="16" t="n">
        <v>2022</v>
      </c>
      <c r="B34" s="16" t="s">
        <v>49</v>
      </c>
      <c r="C34" s="16" t="s">
        <v>50</v>
      </c>
      <c r="D34" s="16" t="s">
        <v>51</v>
      </c>
      <c r="E34" s="16" t="s">
        <v>56</v>
      </c>
      <c r="F34" s="16" t="s">
        <v>57</v>
      </c>
      <c r="G34" s="16" t="s">
        <v>58</v>
      </c>
      <c r="H34" s="17" t="s">
        <v>19</v>
      </c>
      <c r="I34" s="17" t="s">
        <v>19</v>
      </c>
      <c r="J34" s="18" t="n">
        <v>217</v>
      </c>
      <c r="K34" s="16" t="s">
        <v>55</v>
      </c>
    </row>
    <row r="35" customFormat="false" ht="15.75" hidden="false" customHeight="true" outlineLevel="0" collapsed="false">
      <c r="A35" s="13" t="n">
        <v>2022</v>
      </c>
      <c r="B35" s="13" t="s">
        <v>49</v>
      </c>
      <c r="C35" s="13" t="s">
        <v>50</v>
      </c>
      <c r="D35" s="13" t="s">
        <v>51</v>
      </c>
      <c r="E35" s="13" t="s">
        <v>59</v>
      </c>
      <c r="F35" s="13" t="s">
        <v>60</v>
      </c>
      <c r="G35" s="13" t="s">
        <v>61</v>
      </c>
      <c r="H35" s="14" t="s">
        <v>19</v>
      </c>
      <c r="I35" s="14" t="s">
        <v>19</v>
      </c>
      <c r="J35" s="15" t="n">
        <v>3</v>
      </c>
      <c r="K35" s="13" t="s">
        <v>55</v>
      </c>
    </row>
    <row r="36" customFormat="false" ht="15.75" hidden="false" customHeight="true" outlineLevel="0" collapsed="false">
      <c r="A36" s="16" t="n">
        <v>2022</v>
      </c>
      <c r="B36" s="16" t="s">
        <v>62</v>
      </c>
      <c r="C36" s="16" t="s">
        <v>39</v>
      </c>
      <c r="D36" s="16" t="s">
        <v>51</v>
      </c>
      <c r="E36" s="16" t="s">
        <v>63</v>
      </c>
      <c r="F36" s="16" t="s">
        <v>64</v>
      </c>
      <c r="G36" s="16" t="s">
        <v>65</v>
      </c>
      <c r="H36" s="17" t="s">
        <v>19</v>
      </c>
      <c r="I36" s="17" t="s">
        <v>19</v>
      </c>
      <c r="J36" s="18" t="n">
        <v>15</v>
      </c>
      <c r="K36" s="16" t="s">
        <v>66</v>
      </c>
    </row>
    <row r="37" customFormat="false" ht="15.75" hidden="false" customHeight="true" outlineLevel="0" collapsed="false">
      <c r="A37" s="13" t="n">
        <v>2022</v>
      </c>
      <c r="B37" s="13" t="s">
        <v>67</v>
      </c>
      <c r="C37" s="13" t="s">
        <v>39</v>
      </c>
      <c r="D37" s="13" t="s">
        <v>51</v>
      </c>
      <c r="E37" s="13" t="s">
        <v>63</v>
      </c>
      <c r="F37" s="13" t="s">
        <v>64</v>
      </c>
      <c r="G37" s="13" t="s">
        <v>68</v>
      </c>
      <c r="H37" s="14" t="s">
        <v>19</v>
      </c>
      <c r="I37" s="14" t="s">
        <v>19</v>
      </c>
      <c r="J37" s="15" t="n">
        <v>33</v>
      </c>
      <c r="K37" s="13" t="s">
        <v>66</v>
      </c>
    </row>
    <row r="38" customFormat="false" ht="15.75" hidden="false" customHeight="true" outlineLevel="0" collapsed="false">
      <c r="A38" s="16" t="n">
        <v>2022</v>
      </c>
      <c r="B38" s="16" t="s">
        <v>69</v>
      </c>
      <c r="C38" s="16" t="s">
        <v>50</v>
      </c>
      <c r="D38" s="16" t="s">
        <v>51</v>
      </c>
      <c r="E38" s="16" t="s">
        <v>63</v>
      </c>
      <c r="F38" s="16" t="s">
        <v>64</v>
      </c>
      <c r="G38" s="16" t="s">
        <v>70</v>
      </c>
      <c r="H38" s="17" t="s">
        <v>19</v>
      </c>
      <c r="I38" s="17" t="s">
        <v>19</v>
      </c>
      <c r="J38" s="18" t="n">
        <v>26</v>
      </c>
      <c r="K38" s="16" t="s">
        <v>66</v>
      </c>
    </row>
    <row r="39" customFormat="false" ht="15.75" hidden="false" customHeight="true" outlineLevel="0" collapsed="false">
      <c r="A39" s="13" t="n">
        <v>2022</v>
      </c>
      <c r="B39" s="13" t="s">
        <v>71</v>
      </c>
      <c r="C39" s="13" t="s">
        <v>50</v>
      </c>
      <c r="D39" s="13" t="s">
        <v>51</v>
      </c>
      <c r="E39" s="13" t="s">
        <v>63</v>
      </c>
      <c r="F39" s="13" t="s">
        <v>64</v>
      </c>
      <c r="G39" s="13" t="s">
        <v>72</v>
      </c>
      <c r="H39" s="14" t="s">
        <v>19</v>
      </c>
      <c r="I39" s="14" t="s">
        <v>19</v>
      </c>
      <c r="J39" s="15" t="n">
        <v>3</v>
      </c>
      <c r="K39" s="13" t="s">
        <v>66</v>
      </c>
    </row>
    <row r="40" customFormat="false" ht="15.75" hidden="false" customHeight="true" outlineLevel="0" collapsed="false">
      <c r="A40" s="16" t="n">
        <v>2022</v>
      </c>
      <c r="B40" s="16" t="s">
        <v>73</v>
      </c>
      <c r="C40" s="16" t="s">
        <v>50</v>
      </c>
      <c r="D40" s="16" t="s">
        <v>51</v>
      </c>
      <c r="E40" s="16" t="s">
        <v>63</v>
      </c>
      <c r="F40" s="16" t="s">
        <v>64</v>
      </c>
      <c r="G40" s="16" t="s">
        <v>74</v>
      </c>
      <c r="H40" s="17" t="s">
        <v>19</v>
      </c>
      <c r="I40" s="17" t="s">
        <v>19</v>
      </c>
      <c r="J40" s="18" t="n">
        <v>12</v>
      </c>
      <c r="K40" s="16" t="s">
        <v>66</v>
      </c>
    </row>
    <row r="41" customFormat="false" ht="15.75" hidden="false" customHeight="true" outlineLevel="0" collapsed="false">
      <c r="A41" s="13" t="n">
        <v>2023</v>
      </c>
      <c r="B41" s="13" t="s">
        <v>13</v>
      </c>
      <c r="C41" s="13" t="s">
        <v>14</v>
      </c>
      <c r="D41" s="13" t="s">
        <v>15</v>
      </c>
      <c r="E41" s="13" t="s">
        <v>16</v>
      </c>
      <c r="F41" s="13" t="s">
        <v>17</v>
      </c>
      <c r="G41" s="13" t="s">
        <v>18</v>
      </c>
      <c r="H41" s="14" t="s">
        <v>19</v>
      </c>
      <c r="I41" s="14" t="n">
        <v>215.81</v>
      </c>
      <c r="J41" s="15" t="n">
        <v>1</v>
      </c>
      <c r="K41" s="13" t="s">
        <v>20</v>
      </c>
    </row>
    <row r="42" customFormat="false" ht="15.75" hidden="false" customHeight="true" outlineLevel="0" collapsed="false">
      <c r="A42" s="16" t="n">
        <v>2023</v>
      </c>
      <c r="B42" s="16" t="s">
        <v>13</v>
      </c>
      <c r="C42" s="16" t="s">
        <v>14</v>
      </c>
      <c r="D42" s="16" t="s">
        <v>21</v>
      </c>
      <c r="E42" s="16" t="s">
        <v>16</v>
      </c>
      <c r="F42" s="16" t="s">
        <v>22</v>
      </c>
      <c r="G42" s="16" t="s">
        <v>23</v>
      </c>
      <c r="H42" s="17" t="s">
        <v>19</v>
      </c>
      <c r="I42" s="17" t="n">
        <v>312.05</v>
      </c>
      <c r="J42" s="18" t="n">
        <v>1</v>
      </c>
      <c r="K42" s="16" t="s">
        <v>20</v>
      </c>
    </row>
    <row r="43" customFormat="false" ht="15.75" hidden="false" customHeight="true" outlineLevel="0" collapsed="false">
      <c r="A43" s="13" t="n">
        <v>2023</v>
      </c>
      <c r="B43" s="13" t="s">
        <v>13</v>
      </c>
      <c r="C43" s="13" t="s">
        <v>14</v>
      </c>
      <c r="D43" s="13" t="s">
        <v>24</v>
      </c>
      <c r="E43" s="13" t="s">
        <v>16</v>
      </c>
      <c r="F43" s="13" t="s">
        <v>25</v>
      </c>
      <c r="G43" s="13" t="s">
        <v>26</v>
      </c>
      <c r="H43" s="14" t="s">
        <v>19</v>
      </c>
      <c r="I43" s="14" t="n">
        <v>78</v>
      </c>
      <c r="J43" s="15" t="n">
        <v>1</v>
      </c>
      <c r="K43" s="13" t="s">
        <v>20</v>
      </c>
    </row>
    <row r="44" customFormat="false" ht="15.75" hidden="false" customHeight="true" outlineLevel="0" collapsed="false">
      <c r="A44" s="16" t="n">
        <v>2023</v>
      </c>
      <c r="B44" s="16" t="s">
        <v>13</v>
      </c>
      <c r="C44" s="16" t="s">
        <v>14</v>
      </c>
      <c r="D44" s="16" t="s">
        <v>24</v>
      </c>
      <c r="E44" s="16" t="s">
        <v>16</v>
      </c>
      <c r="F44" s="16" t="s">
        <v>27</v>
      </c>
      <c r="G44" s="16" t="s">
        <v>28</v>
      </c>
      <c r="H44" s="17" t="s">
        <v>19</v>
      </c>
      <c r="I44" s="17" t="n">
        <v>68.03</v>
      </c>
      <c r="J44" s="18" t="n">
        <v>1</v>
      </c>
      <c r="K44" s="16" t="s">
        <v>20</v>
      </c>
    </row>
    <row r="45" customFormat="false" ht="15.75" hidden="false" customHeight="true" outlineLevel="0" collapsed="false">
      <c r="A45" s="13" t="n">
        <v>2023</v>
      </c>
      <c r="B45" s="13" t="s">
        <v>13</v>
      </c>
      <c r="C45" s="13" t="s">
        <v>14</v>
      </c>
      <c r="D45" s="13" t="s">
        <v>29</v>
      </c>
      <c r="E45" s="13" t="s">
        <v>16</v>
      </c>
      <c r="F45" s="13" t="s">
        <v>30</v>
      </c>
      <c r="G45" s="13" t="s">
        <v>31</v>
      </c>
      <c r="H45" s="14" t="s">
        <v>19</v>
      </c>
      <c r="I45" s="14" t="n">
        <v>17.74</v>
      </c>
      <c r="J45" s="15" t="n">
        <v>1</v>
      </c>
      <c r="K45" s="13" t="s">
        <v>20</v>
      </c>
    </row>
    <row r="46" customFormat="false" ht="15.75" hidden="false" customHeight="true" outlineLevel="0" collapsed="false">
      <c r="A46" s="16" t="n">
        <v>2023</v>
      </c>
      <c r="B46" s="16" t="s">
        <v>13</v>
      </c>
      <c r="C46" s="16" t="s">
        <v>32</v>
      </c>
      <c r="D46" s="16" t="s">
        <v>33</v>
      </c>
      <c r="E46" s="16" t="s">
        <v>16</v>
      </c>
      <c r="F46" s="16" t="s">
        <v>34</v>
      </c>
      <c r="G46" s="16" t="s">
        <v>35</v>
      </c>
      <c r="H46" s="17" t="s">
        <v>19</v>
      </c>
      <c r="I46" s="17" t="n">
        <v>16.51</v>
      </c>
      <c r="J46" s="18" t="n">
        <v>1</v>
      </c>
      <c r="K46" s="16" t="s">
        <v>20</v>
      </c>
    </row>
    <row r="47" customFormat="false" ht="15.75" hidden="false" customHeight="true" outlineLevel="0" collapsed="false">
      <c r="A47" s="13" t="n">
        <v>2023</v>
      </c>
      <c r="B47" s="13" t="s">
        <v>13</v>
      </c>
      <c r="C47" s="13" t="s">
        <v>14</v>
      </c>
      <c r="D47" s="13" t="s">
        <v>29</v>
      </c>
      <c r="E47" s="13" t="s">
        <v>16</v>
      </c>
      <c r="F47" s="13" t="s">
        <v>36</v>
      </c>
      <c r="G47" s="13" t="s">
        <v>37</v>
      </c>
      <c r="H47" s="14" t="s">
        <v>19</v>
      </c>
      <c r="I47" s="14" t="n">
        <v>26.85</v>
      </c>
      <c r="J47" s="15" t="n">
        <v>1</v>
      </c>
      <c r="K47" s="13" t="s">
        <v>20</v>
      </c>
    </row>
    <row r="48" customFormat="false" ht="15.75" hidden="false" customHeight="true" outlineLevel="0" collapsed="false">
      <c r="A48" s="16" t="n">
        <v>2023</v>
      </c>
      <c r="B48" s="16" t="s">
        <v>38</v>
      </c>
      <c r="C48" s="16" t="s">
        <v>39</v>
      </c>
      <c r="D48" s="16" t="s">
        <v>40</v>
      </c>
      <c r="E48" s="16" t="s">
        <v>41</v>
      </c>
      <c r="F48" s="16" t="s">
        <v>42</v>
      </c>
      <c r="G48" s="16" t="s">
        <v>43</v>
      </c>
      <c r="H48" s="17" t="s">
        <v>19</v>
      </c>
      <c r="I48" s="17" t="s">
        <v>19</v>
      </c>
      <c r="J48" s="18" t="n">
        <v>16150</v>
      </c>
      <c r="K48" s="16" t="s">
        <v>44</v>
      </c>
    </row>
    <row r="49" customFormat="false" ht="15.75" hidden="false" customHeight="true" outlineLevel="0" collapsed="false">
      <c r="A49" s="13" t="n">
        <v>2023</v>
      </c>
      <c r="B49" s="13" t="s">
        <v>38</v>
      </c>
      <c r="C49" s="13" t="s">
        <v>39</v>
      </c>
      <c r="D49" s="13" t="s">
        <v>40</v>
      </c>
      <c r="E49" s="13" t="s">
        <v>41</v>
      </c>
      <c r="F49" s="13" t="s">
        <v>45</v>
      </c>
      <c r="G49" s="13" t="s">
        <v>46</v>
      </c>
      <c r="H49" s="14" t="s">
        <v>19</v>
      </c>
      <c r="I49" s="14" t="s">
        <v>19</v>
      </c>
      <c r="J49" s="15" t="n">
        <v>7309</v>
      </c>
      <c r="K49" s="13" t="s">
        <v>44</v>
      </c>
    </row>
    <row r="50" customFormat="false" ht="15.75" hidden="false" customHeight="true" outlineLevel="0" collapsed="false">
      <c r="A50" s="16" t="n">
        <v>2023</v>
      </c>
      <c r="B50" s="16" t="s">
        <v>38</v>
      </c>
      <c r="C50" s="16" t="s">
        <v>39</v>
      </c>
      <c r="D50" s="16" t="s">
        <v>40</v>
      </c>
      <c r="E50" s="16" t="s">
        <v>41</v>
      </c>
      <c r="F50" s="16" t="s">
        <v>47</v>
      </c>
      <c r="G50" s="16" t="s">
        <v>48</v>
      </c>
      <c r="H50" s="17" t="s">
        <v>19</v>
      </c>
      <c r="I50" s="17" t="s">
        <v>19</v>
      </c>
      <c r="J50" s="18" t="n">
        <v>11982</v>
      </c>
      <c r="K50" s="16" t="s">
        <v>44</v>
      </c>
    </row>
    <row r="51" customFormat="false" ht="15.75" hidden="false" customHeight="true" outlineLevel="0" collapsed="false">
      <c r="A51" s="13" t="n">
        <v>2023</v>
      </c>
      <c r="B51" s="13" t="s">
        <v>49</v>
      </c>
      <c r="C51" s="13" t="s">
        <v>50</v>
      </c>
      <c r="D51" s="13" t="s">
        <v>51</v>
      </c>
      <c r="E51" s="13" t="s">
        <v>52</v>
      </c>
      <c r="F51" s="13" t="s">
        <v>53</v>
      </c>
      <c r="G51" s="13" t="s">
        <v>54</v>
      </c>
      <c r="H51" s="14" t="s">
        <v>19</v>
      </c>
      <c r="I51" s="14" t="s">
        <v>19</v>
      </c>
      <c r="J51" s="15" t="n">
        <v>925</v>
      </c>
      <c r="K51" s="13" t="s">
        <v>55</v>
      </c>
    </row>
    <row r="52" customFormat="false" ht="15.75" hidden="false" customHeight="true" outlineLevel="0" collapsed="false">
      <c r="A52" s="16" t="n">
        <v>2023</v>
      </c>
      <c r="B52" s="16" t="s">
        <v>49</v>
      </c>
      <c r="C52" s="16" t="s">
        <v>50</v>
      </c>
      <c r="D52" s="16" t="s">
        <v>51</v>
      </c>
      <c r="E52" s="16" t="s">
        <v>56</v>
      </c>
      <c r="F52" s="16" t="s">
        <v>57</v>
      </c>
      <c r="G52" s="16" t="s">
        <v>58</v>
      </c>
      <c r="H52" s="17" t="s">
        <v>19</v>
      </c>
      <c r="I52" s="17" t="s">
        <v>19</v>
      </c>
      <c r="J52" s="18" t="n">
        <v>238</v>
      </c>
      <c r="K52" s="16" t="s">
        <v>55</v>
      </c>
    </row>
    <row r="53" customFormat="false" ht="15.75" hidden="false" customHeight="true" outlineLevel="0" collapsed="false">
      <c r="A53" s="13" t="n">
        <v>2023</v>
      </c>
      <c r="B53" s="13" t="s">
        <v>49</v>
      </c>
      <c r="C53" s="13" t="s">
        <v>50</v>
      </c>
      <c r="D53" s="13" t="s">
        <v>51</v>
      </c>
      <c r="E53" s="13" t="s">
        <v>59</v>
      </c>
      <c r="F53" s="13" t="s">
        <v>60</v>
      </c>
      <c r="G53" s="13" t="s">
        <v>61</v>
      </c>
      <c r="H53" s="14" t="s">
        <v>19</v>
      </c>
      <c r="I53" s="14" t="s">
        <v>19</v>
      </c>
      <c r="J53" s="15" t="n">
        <v>3</v>
      </c>
      <c r="K53" s="13" t="s">
        <v>55</v>
      </c>
    </row>
    <row r="54" customFormat="false" ht="15.75" hidden="false" customHeight="true" outlineLevel="0" collapsed="false">
      <c r="A54" s="16" t="n">
        <v>2023</v>
      </c>
      <c r="B54" s="16" t="s">
        <v>62</v>
      </c>
      <c r="C54" s="16" t="s">
        <v>39</v>
      </c>
      <c r="D54" s="16" t="s">
        <v>51</v>
      </c>
      <c r="E54" s="16" t="s">
        <v>63</v>
      </c>
      <c r="F54" s="16" t="s">
        <v>64</v>
      </c>
      <c r="G54" s="16" t="s">
        <v>65</v>
      </c>
      <c r="H54" s="17" t="s">
        <v>19</v>
      </c>
      <c r="I54" s="17" t="s">
        <v>19</v>
      </c>
      <c r="J54" s="18" t="n">
        <v>17</v>
      </c>
      <c r="K54" s="16" t="s">
        <v>66</v>
      </c>
    </row>
    <row r="55" customFormat="false" ht="15.75" hidden="false" customHeight="true" outlineLevel="0" collapsed="false">
      <c r="A55" s="13" t="n">
        <v>2023</v>
      </c>
      <c r="B55" s="13" t="s">
        <v>67</v>
      </c>
      <c r="C55" s="13" t="s">
        <v>39</v>
      </c>
      <c r="D55" s="13" t="s">
        <v>51</v>
      </c>
      <c r="E55" s="13" t="s">
        <v>63</v>
      </c>
      <c r="F55" s="13" t="s">
        <v>64</v>
      </c>
      <c r="G55" s="13" t="s">
        <v>68</v>
      </c>
      <c r="H55" s="14" t="s">
        <v>19</v>
      </c>
      <c r="I55" s="14" t="s">
        <v>19</v>
      </c>
      <c r="J55" s="15" t="n">
        <v>36</v>
      </c>
      <c r="K55" s="13" t="s">
        <v>66</v>
      </c>
    </row>
    <row r="56" customFormat="false" ht="15.75" hidden="false" customHeight="true" outlineLevel="0" collapsed="false">
      <c r="A56" s="16" t="n">
        <v>2023</v>
      </c>
      <c r="B56" s="16" t="s">
        <v>69</v>
      </c>
      <c r="C56" s="16" t="s">
        <v>50</v>
      </c>
      <c r="D56" s="16" t="s">
        <v>51</v>
      </c>
      <c r="E56" s="16" t="s">
        <v>63</v>
      </c>
      <c r="F56" s="16" t="s">
        <v>64</v>
      </c>
      <c r="G56" s="16" t="s">
        <v>70</v>
      </c>
      <c r="H56" s="17" t="s">
        <v>19</v>
      </c>
      <c r="I56" s="17" t="s">
        <v>19</v>
      </c>
      <c r="J56" s="18" t="n">
        <v>29</v>
      </c>
      <c r="K56" s="16" t="s">
        <v>66</v>
      </c>
    </row>
    <row r="57" customFormat="false" ht="15.75" hidden="false" customHeight="true" outlineLevel="0" collapsed="false">
      <c r="A57" s="13" t="n">
        <v>2023</v>
      </c>
      <c r="B57" s="13" t="s">
        <v>71</v>
      </c>
      <c r="C57" s="13" t="s">
        <v>50</v>
      </c>
      <c r="D57" s="13" t="s">
        <v>51</v>
      </c>
      <c r="E57" s="13" t="s">
        <v>63</v>
      </c>
      <c r="F57" s="13" t="s">
        <v>64</v>
      </c>
      <c r="G57" s="13" t="s">
        <v>72</v>
      </c>
      <c r="H57" s="14" t="s">
        <v>19</v>
      </c>
      <c r="I57" s="14" t="s">
        <v>19</v>
      </c>
      <c r="J57" s="15" t="n">
        <v>4</v>
      </c>
      <c r="K57" s="13" t="s">
        <v>66</v>
      </c>
    </row>
    <row r="58" customFormat="false" ht="15.75" hidden="false" customHeight="true" outlineLevel="0" collapsed="false">
      <c r="A58" s="16" t="n">
        <v>2023</v>
      </c>
      <c r="B58" s="16" t="s">
        <v>73</v>
      </c>
      <c r="C58" s="16" t="s">
        <v>50</v>
      </c>
      <c r="D58" s="16" t="s">
        <v>51</v>
      </c>
      <c r="E58" s="16" t="s">
        <v>63</v>
      </c>
      <c r="F58" s="16" t="s">
        <v>64</v>
      </c>
      <c r="G58" s="16" t="s">
        <v>74</v>
      </c>
      <c r="H58" s="17" t="s">
        <v>19</v>
      </c>
      <c r="I58" s="17" t="s">
        <v>19</v>
      </c>
      <c r="J58" s="18" t="n">
        <v>13</v>
      </c>
      <c r="K58" s="16" t="s">
        <v>66</v>
      </c>
    </row>
    <row r="59" customFormat="false" ht="15.75" hidden="false" customHeight="true" outlineLevel="0" collapsed="false">
      <c r="A59" s="13" t="n">
        <v>2024</v>
      </c>
      <c r="B59" s="13" t="s">
        <v>13</v>
      </c>
      <c r="C59" s="13" t="s">
        <v>14</v>
      </c>
      <c r="D59" s="13" t="s">
        <v>15</v>
      </c>
      <c r="E59" s="13" t="s">
        <v>16</v>
      </c>
      <c r="F59" s="13" t="s">
        <v>17</v>
      </c>
      <c r="G59" s="13" t="s">
        <v>18</v>
      </c>
      <c r="H59" s="14" t="s">
        <v>19</v>
      </c>
      <c r="I59" s="14" t="n">
        <v>215.81</v>
      </c>
      <c r="J59" s="15" t="n">
        <v>1</v>
      </c>
      <c r="K59" s="13" t="s">
        <v>20</v>
      </c>
    </row>
    <row r="60" customFormat="false" ht="15.75" hidden="false" customHeight="true" outlineLevel="0" collapsed="false">
      <c r="A60" s="16" t="n">
        <v>2024</v>
      </c>
      <c r="B60" s="16" t="s">
        <v>13</v>
      </c>
      <c r="C60" s="16" t="s">
        <v>14</v>
      </c>
      <c r="D60" s="16" t="s">
        <v>21</v>
      </c>
      <c r="E60" s="16" t="s">
        <v>16</v>
      </c>
      <c r="F60" s="16" t="s">
        <v>22</v>
      </c>
      <c r="G60" s="16" t="s">
        <v>23</v>
      </c>
      <c r="H60" s="17" t="s">
        <v>19</v>
      </c>
      <c r="I60" s="17" t="n">
        <v>312.05</v>
      </c>
      <c r="J60" s="18" t="n">
        <v>1</v>
      </c>
      <c r="K60" s="16" t="s">
        <v>20</v>
      </c>
    </row>
    <row r="61" customFormat="false" ht="15.75" hidden="false" customHeight="true" outlineLevel="0" collapsed="false">
      <c r="A61" s="13" t="n">
        <v>2024</v>
      </c>
      <c r="B61" s="13" t="s">
        <v>13</v>
      </c>
      <c r="C61" s="13" t="s">
        <v>14</v>
      </c>
      <c r="D61" s="13" t="s">
        <v>24</v>
      </c>
      <c r="E61" s="13" t="s">
        <v>16</v>
      </c>
      <c r="F61" s="13" t="s">
        <v>25</v>
      </c>
      <c r="G61" s="13" t="s">
        <v>26</v>
      </c>
      <c r="H61" s="14" t="s">
        <v>19</v>
      </c>
      <c r="I61" s="14" t="n">
        <v>78</v>
      </c>
      <c r="J61" s="15" t="n">
        <v>1</v>
      </c>
      <c r="K61" s="13" t="s">
        <v>20</v>
      </c>
    </row>
    <row r="62" customFormat="false" ht="15.75" hidden="false" customHeight="true" outlineLevel="0" collapsed="false">
      <c r="A62" s="16" t="n">
        <v>2024</v>
      </c>
      <c r="B62" s="16" t="s">
        <v>13</v>
      </c>
      <c r="C62" s="16" t="s">
        <v>14</v>
      </c>
      <c r="D62" s="16" t="s">
        <v>24</v>
      </c>
      <c r="E62" s="16" t="s">
        <v>16</v>
      </c>
      <c r="F62" s="16" t="s">
        <v>27</v>
      </c>
      <c r="G62" s="16" t="s">
        <v>28</v>
      </c>
      <c r="H62" s="17" t="s">
        <v>19</v>
      </c>
      <c r="I62" s="17" t="n">
        <v>68.03</v>
      </c>
      <c r="J62" s="18" t="n">
        <v>1</v>
      </c>
      <c r="K62" s="16" t="s">
        <v>20</v>
      </c>
    </row>
    <row r="63" customFormat="false" ht="15.75" hidden="false" customHeight="true" outlineLevel="0" collapsed="false">
      <c r="A63" s="13" t="n">
        <v>2024</v>
      </c>
      <c r="B63" s="13" t="s">
        <v>13</v>
      </c>
      <c r="C63" s="13" t="s">
        <v>14</v>
      </c>
      <c r="D63" s="13" t="s">
        <v>29</v>
      </c>
      <c r="E63" s="13" t="s">
        <v>16</v>
      </c>
      <c r="F63" s="13" t="s">
        <v>30</v>
      </c>
      <c r="G63" s="13" t="s">
        <v>31</v>
      </c>
      <c r="H63" s="14" t="s">
        <v>19</v>
      </c>
      <c r="I63" s="14" t="n">
        <v>17.74</v>
      </c>
      <c r="J63" s="15" t="n">
        <v>1</v>
      </c>
      <c r="K63" s="13" t="s">
        <v>20</v>
      </c>
    </row>
    <row r="64" customFormat="false" ht="15.75" hidden="false" customHeight="true" outlineLevel="0" collapsed="false">
      <c r="A64" s="16" t="n">
        <v>2024</v>
      </c>
      <c r="B64" s="16" t="s">
        <v>13</v>
      </c>
      <c r="C64" s="16" t="s">
        <v>32</v>
      </c>
      <c r="D64" s="16" t="s">
        <v>33</v>
      </c>
      <c r="E64" s="16" t="s">
        <v>16</v>
      </c>
      <c r="F64" s="16" t="s">
        <v>34</v>
      </c>
      <c r="G64" s="16" t="s">
        <v>35</v>
      </c>
      <c r="H64" s="17" t="s">
        <v>19</v>
      </c>
      <c r="I64" s="17" t="n">
        <v>16.51</v>
      </c>
      <c r="J64" s="18" t="n">
        <v>1</v>
      </c>
      <c r="K64" s="16" t="s">
        <v>20</v>
      </c>
    </row>
    <row r="65" customFormat="false" ht="15.75" hidden="false" customHeight="true" outlineLevel="0" collapsed="false">
      <c r="A65" s="13" t="n">
        <v>2024</v>
      </c>
      <c r="B65" s="13" t="s">
        <v>13</v>
      </c>
      <c r="C65" s="13" t="s">
        <v>14</v>
      </c>
      <c r="D65" s="13" t="s">
        <v>29</v>
      </c>
      <c r="E65" s="13" t="s">
        <v>16</v>
      </c>
      <c r="F65" s="13" t="s">
        <v>36</v>
      </c>
      <c r="G65" s="13" t="s">
        <v>37</v>
      </c>
      <c r="H65" s="14" t="s">
        <v>19</v>
      </c>
      <c r="I65" s="14" t="n">
        <v>26.85</v>
      </c>
      <c r="J65" s="15" t="n">
        <v>1</v>
      </c>
      <c r="K65" s="13" t="s">
        <v>20</v>
      </c>
    </row>
    <row r="66" customFormat="false" ht="15.75" hidden="false" customHeight="true" outlineLevel="0" collapsed="false">
      <c r="A66" s="16" t="n">
        <v>2024</v>
      </c>
      <c r="B66" s="16" t="s">
        <v>38</v>
      </c>
      <c r="C66" s="16" t="s">
        <v>39</v>
      </c>
      <c r="D66" s="16" t="s">
        <v>40</v>
      </c>
      <c r="E66" s="16" t="s">
        <v>41</v>
      </c>
      <c r="F66" s="16" t="s">
        <v>42</v>
      </c>
      <c r="G66" s="16" t="s">
        <v>43</v>
      </c>
      <c r="H66" s="17" t="s">
        <v>19</v>
      </c>
      <c r="I66" s="17" t="s">
        <v>19</v>
      </c>
      <c r="J66" s="18" t="n">
        <v>17673</v>
      </c>
      <c r="K66" s="16" t="s">
        <v>44</v>
      </c>
    </row>
    <row r="67" customFormat="false" ht="15.75" hidden="false" customHeight="true" outlineLevel="0" collapsed="false">
      <c r="A67" s="13" t="n">
        <v>2024</v>
      </c>
      <c r="B67" s="13" t="s">
        <v>38</v>
      </c>
      <c r="C67" s="13" t="s">
        <v>39</v>
      </c>
      <c r="D67" s="13" t="s">
        <v>40</v>
      </c>
      <c r="E67" s="13" t="s">
        <v>41</v>
      </c>
      <c r="F67" s="13" t="s">
        <v>45</v>
      </c>
      <c r="G67" s="13" t="s">
        <v>46</v>
      </c>
      <c r="H67" s="14" t="s">
        <v>19</v>
      </c>
      <c r="I67" s="14" t="s">
        <v>19</v>
      </c>
      <c r="J67" s="15" t="n">
        <v>7496</v>
      </c>
      <c r="K67" s="13" t="s">
        <v>44</v>
      </c>
    </row>
    <row r="68" customFormat="false" ht="15.75" hidden="false" customHeight="true" outlineLevel="0" collapsed="false">
      <c r="A68" s="16" t="n">
        <v>2024</v>
      </c>
      <c r="B68" s="16" t="s">
        <v>38</v>
      </c>
      <c r="C68" s="16" t="s">
        <v>39</v>
      </c>
      <c r="D68" s="16" t="s">
        <v>40</v>
      </c>
      <c r="E68" s="16" t="s">
        <v>41</v>
      </c>
      <c r="F68" s="16" t="s">
        <v>47</v>
      </c>
      <c r="G68" s="16" t="s">
        <v>48</v>
      </c>
      <c r="H68" s="17" t="s">
        <v>19</v>
      </c>
      <c r="I68" s="17" t="s">
        <v>19</v>
      </c>
      <c r="J68" s="18" t="n">
        <v>13235</v>
      </c>
      <c r="K68" s="16" t="s">
        <v>44</v>
      </c>
    </row>
    <row r="69" customFormat="false" ht="15.75" hidden="false" customHeight="true" outlineLevel="0" collapsed="false">
      <c r="A69" s="13" t="n">
        <v>2024</v>
      </c>
      <c r="B69" s="13" t="s">
        <v>49</v>
      </c>
      <c r="C69" s="13" t="s">
        <v>50</v>
      </c>
      <c r="D69" s="13" t="s">
        <v>51</v>
      </c>
      <c r="E69" s="13" t="s">
        <v>52</v>
      </c>
      <c r="F69" s="13" t="s">
        <v>53</v>
      </c>
      <c r="G69" s="13" t="s">
        <v>54</v>
      </c>
      <c r="H69" s="14" t="s">
        <v>19</v>
      </c>
      <c r="I69" s="14" t="s">
        <v>19</v>
      </c>
      <c r="J69" s="15" t="n">
        <v>1003</v>
      </c>
      <c r="K69" s="13" t="s">
        <v>55</v>
      </c>
    </row>
    <row r="70" customFormat="false" ht="15.75" hidden="false" customHeight="true" outlineLevel="0" collapsed="false">
      <c r="A70" s="16" t="n">
        <v>2024</v>
      </c>
      <c r="B70" s="16" t="s">
        <v>49</v>
      </c>
      <c r="C70" s="16" t="s">
        <v>50</v>
      </c>
      <c r="D70" s="16" t="s">
        <v>51</v>
      </c>
      <c r="E70" s="16" t="s">
        <v>56</v>
      </c>
      <c r="F70" s="16" t="s">
        <v>57</v>
      </c>
      <c r="G70" s="16" t="s">
        <v>58</v>
      </c>
      <c r="H70" s="17" t="s">
        <v>19</v>
      </c>
      <c r="I70" s="17" t="s">
        <v>19</v>
      </c>
      <c r="J70" s="18" t="n">
        <v>244</v>
      </c>
      <c r="K70" s="16" t="s">
        <v>55</v>
      </c>
    </row>
    <row r="71" customFormat="false" ht="15.75" hidden="false" customHeight="true" outlineLevel="0" collapsed="false">
      <c r="A71" s="13" t="n">
        <v>2024</v>
      </c>
      <c r="B71" s="13" t="s">
        <v>49</v>
      </c>
      <c r="C71" s="13" t="s">
        <v>50</v>
      </c>
      <c r="D71" s="13" t="s">
        <v>51</v>
      </c>
      <c r="E71" s="13" t="s">
        <v>59</v>
      </c>
      <c r="F71" s="13" t="s">
        <v>60</v>
      </c>
      <c r="G71" s="13" t="s">
        <v>61</v>
      </c>
      <c r="H71" s="14" t="s">
        <v>19</v>
      </c>
      <c r="I71" s="14" t="s">
        <v>19</v>
      </c>
      <c r="J71" s="15" t="n">
        <v>3</v>
      </c>
      <c r="K71" s="13" t="s">
        <v>55</v>
      </c>
    </row>
    <row r="72" customFormat="false" ht="15.75" hidden="false" customHeight="true" outlineLevel="0" collapsed="false">
      <c r="A72" s="16" t="n">
        <v>2024</v>
      </c>
      <c r="B72" s="16" t="s">
        <v>62</v>
      </c>
      <c r="C72" s="16" t="s">
        <v>39</v>
      </c>
      <c r="D72" s="16" t="s">
        <v>51</v>
      </c>
      <c r="E72" s="16" t="s">
        <v>63</v>
      </c>
      <c r="F72" s="16" t="s">
        <v>64</v>
      </c>
      <c r="G72" s="16" t="s">
        <v>65</v>
      </c>
      <c r="H72" s="17" t="s">
        <v>19</v>
      </c>
      <c r="I72" s="17" t="s">
        <v>19</v>
      </c>
      <c r="J72" s="18" t="n">
        <v>18</v>
      </c>
      <c r="K72" s="16" t="s">
        <v>66</v>
      </c>
    </row>
    <row r="73" customFormat="false" ht="15.75" hidden="false" customHeight="true" outlineLevel="0" collapsed="false">
      <c r="A73" s="13" t="n">
        <v>2024</v>
      </c>
      <c r="B73" s="13" t="s">
        <v>67</v>
      </c>
      <c r="C73" s="13" t="s">
        <v>39</v>
      </c>
      <c r="D73" s="13" t="s">
        <v>51</v>
      </c>
      <c r="E73" s="13" t="s">
        <v>63</v>
      </c>
      <c r="F73" s="13" t="s">
        <v>64</v>
      </c>
      <c r="G73" s="13" t="s">
        <v>68</v>
      </c>
      <c r="H73" s="14" t="s">
        <v>19</v>
      </c>
      <c r="I73" s="14" t="s">
        <v>19</v>
      </c>
      <c r="J73" s="15" t="n">
        <v>39</v>
      </c>
      <c r="K73" s="13" t="s">
        <v>66</v>
      </c>
    </row>
    <row r="74" customFormat="false" ht="15.75" hidden="false" customHeight="true" outlineLevel="0" collapsed="false">
      <c r="A74" s="16" t="n">
        <v>2024</v>
      </c>
      <c r="B74" s="16" t="s">
        <v>69</v>
      </c>
      <c r="C74" s="16" t="s">
        <v>50</v>
      </c>
      <c r="D74" s="16" t="s">
        <v>51</v>
      </c>
      <c r="E74" s="16" t="s">
        <v>63</v>
      </c>
      <c r="F74" s="16" t="s">
        <v>64</v>
      </c>
      <c r="G74" s="16" t="s">
        <v>70</v>
      </c>
      <c r="H74" s="17" t="s">
        <v>19</v>
      </c>
      <c r="I74" s="17" t="s">
        <v>19</v>
      </c>
      <c r="J74" s="18" t="n">
        <v>31</v>
      </c>
      <c r="K74" s="16" t="s">
        <v>66</v>
      </c>
    </row>
    <row r="75" customFormat="false" ht="15.75" hidden="false" customHeight="true" outlineLevel="0" collapsed="false">
      <c r="A75" s="13" t="n">
        <v>2024</v>
      </c>
      <c r="B75" s="13" t="s">
        <v>71</v>
      </c>
      <c r="C75" s="13" t="s">
        <v>50</v>
      </c>
      <c r="D75" s="13" t="s">
        <v>51</v>
      </c>
      <c r="E75" s="13" t="s">
        <v>63</v>
      </c>
      <c r="F75" s="13" t="s">
        <v>64</v>
      </c>
      <c r="G75" s="13" t="s">
        <v>72</v>
      </c>
      <c r="H75" s="14" t="s">
        <v>19</v>
      </c>
      <c r="I75" s="14" t="s">
        <v>19</v>
      </c>
      <c r="J75" s="15" t="n">
        <v>4</v>
      </c>
      <c r="K75" s="13" t="s">
        <v>66</v>
      </c>
    </row>
    <row r="76" customFormat="false" ht="15.75" hidden="false" customHeight="true" outlineLevel="0" collapsed="false">
      <c r="A76" s="16" t="n">
        <v>2024</v>
      </c>
      <c r="B76" s="16" t="s">
        <v>73</v>
      </c>
      <c r="C76" s="16" t="s">
        <v>50</v>
      </c>
      <c r="D76" s="16" t="s">
        <v>51</v>
      </c>
      <c r="E76" s="16" t="s">
        <v>63</v>
      </c>
      <c r="F76" s="16" t="s">
        <v>64</v>
      </c>
      <c r="G76" s="16" t="s">
        <v>74</v>
      </c>
      <c r="H76" s="17" t="s">
        <v>19</v>
      </c>
      <c r="I76" s="17" t="s">
        <v>19</v>
      </c>
      <c r="J76" s="18" t="n">
        <v>14</v>
      </c>
      <c r="K76" s="16" t="s">
        <v>66</v>
      </c>
    </row>
    <row r="77" customFormat="false" ht="15.75" hidden="false" customHeight="true" outlineLevel="0" collapsed="false">
      <c r="A77" s="13" t="n">
        <v>2025</v>
      </c>
      <c r="B77" s="13" t="s">
        <v>13</v>
      </c>
      <c r="C77" s="13" t="s">
        <v>14</v>
      </c>
      <c r="D77" s="13" t="s">
        <v>15</v>
      </c>
      <c r="E77" s="13" t="s">
        <v>16</v>
      </c>
      <c r="F77" s="13" t="s">
        <v>17</v>
      </c>
      <c r="G77" s="13" t="s">
        <v>18</v>
      </c>
      <c r="H77" s="14" t="s">
        <v>19</v>
      </c>
      <c r="I77" s="14" t="n">
        <v>215.81</v>
      </c>
      <c r="J77" s="15" t="n">
        <v>1</v>
      </c>
      <c r="K77" s="13" t="s">
        <v>20</v>
      </c>
    </row>
    <row r="78" customFormat="false" ht="15.75" hidden="false" customHeight="true" outlineLevel="0" collapsed="false">
      <c r="A78" s="16" t="n">
        <v>2025</v>
      </c>
      <c r="B78" s="16" t="s">
        <v>13</v>
      </c>
      <c r="C78" s="16" t="s">
        <v>14</v>
      </c>
      <c r="D78" s="16" t="s">
        <v>21</v>
      </c>
      <c r="E78" s="16" t="s">
        <v>16</v>
      </c>
      <c r="F78" s="16" t="s">
        <v>22</v>
      </c>
      <c r="G78" s="16" t="s">
        <v>23</v>
      </c>
      <c r="H78" s="17" t="s">
        <v>19</v>
      </c>
      <c r="I78" s="17" t="n">
        <v>312.05</v>
      </c>
      <c r="J78" s="18" t="n">
        <v>1</v>
      </c>
      <c r="K78" s="16" t="s">
        <v>20</v>
      </c>
    </row>
    <row r="79" customFormat="false" ht="15.75" hidden="false" customHeight="true" outlineLevel="0" collapsed="false">
      <c r="A79" s="13" t="n">
        <v>2025</v>
      </c>
      <c r="B79" s="13" t="s">
        <v>13</v>
      </c>
      <c r="C79" s="13" t="s">
        <v>14</v>
      </c>
      <c r="D79" s="13" t="s">
        <v>24</v>
      </c>
      <c r="E79" s="13" t="s">
        <v>16</v>
      </c>
      <c r="F79" s="13" t="s">
        <v>25</v>
      </c>
      <c r="G79" s="13" t="s">
        <v>26</v>
      </c>
      <c r="H79" s="14" t="s">
        <v>19</v>
      </c>
      <c r="I79" s="14" t="n">
        <v>78</v>
      </c>
      <c r="J79" s="15" t="n">
        <v>1</v>
      </c>
      <c r="K79" s="13" t="s">
        <v>20</v>
      </c>
    </row>
    <row r="80" customFormat="false" ht="15.75" hidden="false" customHeight="true" outlineLevel="0" collapsed="false">
      <c r="A80" s="16" t="n">
        <v>2025</v>
      </c>
      <c r="B80" s="16" t="s">
        <v>13</v>
      </c>
      <c r="C80" s="16" t="s">
        <v>14</v>
      </c>
      <c r="D80" s="16" t="s">
        <v>24</v>
      </c>
      <c r="E80" s="16" t="s">
        <v>16</v>
      </c>
      <c r="F80" s="16" t="s">
        <v>27</v>
      </c>
      <c r="G80" s="16" t="s">
        <v>28</v>
      </c>
      <c r="H80" s="17" t="s">
        <v>19</v>
      </c>
      <c r="I80" s="17" t="n">
        <v>68.03</v>
      </c>
      <c r="J80" s="18" t="n">
        <v>1</v>
      </c>
      <c r="K80" s="16" t="s">
        <v>20</v>
      </c>
    </row>
    <row r="81" customFormat="false" ht="15.75" hidden="false" customHeight="true" outlineLevel="0" collapsed="false">
      <c r="A81" s="13" t="n">
        <v>2025</v>
      </c>
      <c r="B81" s="13" t="s">
        <v>13</v>
      </c>
      <c r="C81" s="13" t="s">
        <v>14</v>
      </c>
      <c r="D81" s="13" t="s">
        <v>29</v>
      </c>
      <c r="E81" s="13" t="s">
        <v>16</v>
      </c>
      <c r="F81" s="13" t="s">
        <v>30</v>
      </c>
      <c r="G81" s="13" t="s">
        <v>31</v>
      </c>
      <c r="H81" s="14" t="s">
        <v>19</v>
      </c>
      <c r="I81" s="14" t="n">
        <v>17.74</v>
      </c>
      <c r="J81" s="15" t="n">
        <v>1</v>
      </c>
      <c r="K81" s="13" t="s">
        <v>20</v>
      </c>
    </row>
    <row r="82" customFormat="false" ht="15.75" hidden="false" customHeight="true" outlineLevel="0" collapsed="false">
      <c r="A82" s="16" t="n">
        <v>2025</v>
      </c>
      <c r="B82" s="16" t="s">
        <v>13</v>
      </c>
      <c r="C82" s="16" t="s">
        <v>32</v>
      </c>
      <c r="D82" s="16" t="s">
        <v>33</v>
      </c>
      <c r="E82" s="16" t="s">
        <v>16</v>
      </c>
      <c r="F82" s="16" t="s">
        <v>34</v>
      </c>
      <c r="G82" s="16" t="s">
        <v>35</v>
      </c>
      <c r="H82" s="17" t="s">
        <v>19</v>
      </c>
      <c r="I82" s="17" t="n">
        <v>16.51</v>
      </c>
      <c r="J82" s="18" t="n">
        <v>1</v>
      </c>
      <c r="K82" s="16" t="s">
        <v>20</v>
      </c>
    </row>
    <row r="83" customFormat="false" ht="15.75" hidden="false" customHeight="true" outlineLevel="0" collapsed="false">
      <c r="A83" s="13" t="n">
        <v>2025</v>
      </c>
      <c r="B83" s="13" t="s">
        <v>13</v>
      </c>
      <c r="C83" s="13" t="s">
        <v>14</v>
      </c>
      <c r="D83" s="13" t="s">
        <v>29</v>
      </c>
      <c r="E83" s="13" t="s">
        <v>16</v>
      </c>
      <c r="F83" s="13" t="s">
        <v>36</v>
      </c>
      <c r="G83" s="13" t="s">
        <v>37</v>
      </c>
      <c r="H83" s="14" t="s">
        <v>19</v>
      </c>
      <c r="I83" s="14" t="n">
        <v>26.85</v>
      </c>
      <c r="J83" s="15" t="n">
        <v>1</v>
      </c>
      <c r="K83" s="13" t="s">
        <v>20</v>
      </c>
    </row>
    <row r="84" customFormat="false" ht="15.75" hidden="false" customHeight="true" outlineLevel="0" collapsed="false">
      <c r="A84" s="16" t="n">
        <v>2025</v>
      </c>
      <c r="B84" s="16" t="s">
        <v>38</v>
      </c>
      <c r="C84" s="16" t="s">
        <v>39</v>
      </c>
      <c r="D84" s="16" t="s">
        <v>40</v>
      </c>
      <c r="E84" s="16" t="s">
        <v>41</v>
      </c>
      <c r="F84" s="16" t="s">
        <v>42</v>
      </c>
      <c r="G84" s="16" t="s">
        <v>43</v>
      </c>
      <c r="H84" s="17" t="s">
        <v>19</v>
      </c>
      <c r="I84" s="17" t="s">
        <v>19</v>
      </c>
      <c r="J84" s="18" t="n">
        <v>18681</v>
      </c>
      <c r="K84" s="16" t="s">
        <v>44</v>
      </c>
    </row>
    <row r="85" customFormat="false" ht="15.75" hidden="false" customHeight="true" outlineLevel="0" collapsed="false">
      <c r="A85" s="13" t="n">
        <v>2025</v>
      </c>
      <c r="B85" s="13" t="s">
        <v>38</v>
      </c>
      <c r="C85" s="13" t="s">
        <v>39</v>
      </c>
      <c r="D85" s="13" t="s">
        <v>40</v>
      </c>
      <c r="E85" s="13" t="s">
        <v>41</v>
      </c>
      <c r="F85" s="13" t="s">
        <v>45</v>
      </c>
      <c r="G85" s="13" t="s">
        <v>46</v>
      </c>
      <c r="H85" s="14" t="s">
        <v>19</v>
      </c>
      <c r="I85" s="14" t="s">
        <v>19</v>
      </c>
      <c r="J85" s="15" t="n">
        <v>8107</v>
      </c>
      <c r="K85" s="13" t="s">
        <v>44</v>
      </c>
    </row>
    <row r="86" customFormat="false" ht="15.75" hidden="false" customHeight="true" outlineLevel="0" collapsed="false">
      <c r="A86" s="16" t="n">
        <v>2025</v>
      </c>
      <c r="B86" s="16" t="s">
        <v>38</v>
      </c>
      <c r="C86" s="16" t="s">
        <v>39</v>
      </c>
      <c r="D86" s="16" t="s">
        <v>40</v>
      </c>
      <c r="E86" s="16" t="s">
        <v>41</v>
      </c>
      <c r="F86" s="16" t="s">
        <v>47</v>
      </c>
      <c r="G86" s="16" t="s">
        <v>48</v>
      </c>
      <c r="H86" s="17" t="s">
        <v>19</v>
      </c>
      <c r="I86" s="17" t="s">
        <v>19</v>
      </c>
      <c r="J86" s="18" t="n">
        <v>13487</v>
      </c>
      <c r="K86" s="16" t="s">
        <v>44</v>
      </c>
    </row>
    <row r="87" customFormat="false" ht="15.75" hidden="false" customHeight="true" outlineLevel="0" collapsed="false">
      <c r="A87" s="13" t="n">
        <v>2025</v>
      </c>
      <c r="B87" s="13" t="s">
        <v>49</v>
      </c>
      <c r="C87" s="13" t="s">
        <v>50</v>
      </c>
      <c r="D87" s="13" t="s">
        <v>51</v>
      </c>
      <c r="E87" s="13" t="s">
        <v>52</v>
      </c>
      <c r="F87" s="13" t="s">
        <v>53</v>
      </c>
      <c r="G87" s="13" t="s">
        <v>54</v>
      </c>
      <c r="H87" s="14" t="s">
        <v>19</v>
      </c>
      <c r="I87" s="14" t="s">
        <v>19</v>
      </c>
      <c r="J87" s="15" t="n">
        <v>1024</v>
      </c>
      <c r="K87" s="13" t="s">
        <v>55</v>
      </c>
    </row>
    <row r="88" customFormat="false" ht="15.75" hidden="false" customHeight="true" outlineLevel="0" collapsed="false">
      <c r="A88" s="16" t="n">
        <v>2025</v>
      </c>
      <c r="B88" s="16" t="s">
        <v>49</v>
      </c>
      <c r="C88" s="16" t="s">
        <v>50</v>
      </c>
      <c r="D88" s="16" t="s">
        <v>51</v>
      </c>
      <c r="E88" s="16" t="s">
        <v>56</v>
      </c>
      <c r="F88" s="16" t="s">
        <v>57</v>
      </c>
      <c r="G88" s="16" t="s">
        <v>58</v>
      </c>
      <c r="H88" s="17" t="s">
        <v>19</v>
      </c>
      <c r="I88" s="17" t="s">
        <v>19</v>
      </c>
      <c r="J88" s="18" t="n">
        <v>263</v>
      </c>
      <c r="K88" s="16" t="s">
        <v>55</v>
      </c>
    </row>
    <row r="89" customFormat="false" ht="15.75" hidden="false" customHeight="true" outlineLevel="0" collapsed="false">
      <c r="A89" s="13" t="n">
        <v>2025</v>
      </c>
      <c r="B89" s="13" t="s">
        <v>49</v>
      </c>
      <c r="C89" s="13" t="s">
        <v>50</v>
      </c>
      <c r="D89" s="13" t="s">
        <v>51</v>
      </c>
      <c r="E89" s="13" t="s">
        <v>59</v>
      </c>
      <c r="F89" s="13" t="s">
        <v>60</v>
      </c>
      <c r="G89" s="13" t="s">
        <v>61</v>
      </c>
      <c r="H89" s="14" t="s">
        <v>19</v>
      </c>
      <c r="I89" s="14" t="s">
        <v>19</v>
      </c>
      <c r="J89" s="15" t="n">
        <v>3</v>
      </c>
      <c r="K89" s="13" t="s">
        <v>55</v>
      </c>
    </row>
    <row r="90" customFormat="false" ht="15.75" hidden="false" customHeight="true" outlineLevel="0" collapsed="false">
      <c r="A90" s="16" t="n">
        <v>2025</v>
      </c>
      <c r="B90" s="16" t="s">
        <v>62</v>
      </c>
      <c r="C90" s="16" t="s">
        <v>39</v>
      </c>
      <c r="D90" s="16" t="s">
        <v>51</v>
      </c>
      <c r="E90" s="16" t="s">
        <v>63</v>
      </c>
      <c r="F90" s="16" t="s">
        <v>64</v>
      </c>
      <c r="G90" s="16" t="s">
        <v>65</v>
      </c>
      <c r="H90" s="17" t="s">
        <v>19</v>
      </c>
      <c r="I90" s="17" t="s">
        <v>19</v>
      </c>
      <c r="J90" s="18" t="n">
        <v>18</v>
      </c>
      <c r="K90" s="16" t="s">
        <v>66</v>
      </c>
    </row>
    <row r="91" customFormat="false" ht="15.75" hidden="false" customHeight="true" outlineLevel="0" collapsed="false">
      <c r="A91" s="13" t="n">
        <v>2025</v>
      </c>
      <c r="B91" s="13" t="s">
        <v>67</v>
      </c>
      <c r="C91" s="13" t="s">
        <v>39</v>
      </c>
      <c r="D91" s="13" t="s">
        <v>51</v>
      </c>
      <c r="E91" s="13" t="s">
        <v>63</v>
      </c>
      <c r="F91" s="13" t="s">
        <v>64</v>
      </c>
      <c r="G91" s="13" t="s">
        <v>68</v>
      </c>
      <c r="H91" s="14" t="s">
        <v>19</v>
      </c>
      <c r="I91" s="14" t="s">
        <v>19</v>
      </c>
      <c r="J91" s="15" t="n">
        <v>41</v>
      </c>
      <c r="K91" s="13" t="s">
        <v>66</v>
      </c>
    </row>
    <row r="92" customFormat="false" ht="15.75" hidden="false" customHeight="true" outlineLevel="0" collapsed="false">
      <c r="A92" s="16" t="n">
        <v>2025</v>
      </c>
      <c r="B92" s="16" t="s">
        <v>69</v>
      </c>
      <c r="C92" s="16" t="s">
        <v>50</v>
      </c>
      <c r="D92" s="16" t="s">
        <v>51</v>
      </c>
      <c r="E92" s="16" t="s">
        <v>63</v>
      </c>
      <c r="F92" s="16" t="s">
        <v>64</v>
      </c>
      <c r="G92" s="16" t="s">
        <v>70</v>
      </c>
      <c r="H92" s="17" t="s">
        <v>19</v>
      </c>
      <c r="I92" s="17" t="s">
        <v>19</v>
      </c>
      <c r="J92" s="18" t="n">
        <v>31</v>
      </c>
      <c r="K92" s="16" t="s">
        <v>66</v>
      </c>
    </row>
    <row r="93" customFormat="false" ht="15.75" hidden="false" customHeight="true" outlineLevel="0" collapsed="false">
      <c r="A93" s="13" t="n">
        <v>2025</v>
      </c>
      <c r="B93" s="13" t="s">
        <v>71</v>
      </c>
      <c r="C93" s="13" t="s">
        <v>50</v>
      </c>
      <c r="D93" s="13" t="s">
        <v>51</v>
      </c>
      <c r="E93" s="13" t="s">
        <v>63</v>
      </c>
      <c r="F93" s="13" t="s">
        <v>64</v>
      </c>
      <c r="G93" s="13" t="s">
        <v>72</v>
      </c>
      <c r="H93" s="14" t="s">
        <v>19</v>
      </c>
      <c r="I93" s="14" t="s">
        <v>19</v>
      </c>
      <c r="J93" s="15" t="n">
        <v>4</v>
      </c>
      <c r="K93" s="13" t="s">
        <v>66</v>
      </c>
    </row>
    <row r="94" customFormat="false" ht="15.75" hidden="false" customHeight="true" outlineLevel="0" collapsed="false">
      <c r="A94" s="16" t="n">
        <v>2025</v>
      </c>
      <c r="B94" s="16" t="s">
        <v>73</v>
      </c>
      <c r="C94" s="16" t="s">
        <v>50</v>
      </c>
      <c r="D94" s="16" t="s">
        <v>51</v>
      </c>
      <c r="E94" s="16" t="s">
        <v>63</v>
      </c>
      <c r="F94" s="16" t="s">
        <v>64</v>
      </c>
      <c r="G94" s="16" t="s">
        <v>74</v>
      </c>
      <c r="H94" s="17" t="s">
        <v>19</v>
      </c>
      <c r="I94" s="17" t="s">
        <v>19</v>
      </c>
      <c r="J94" s="18" t="n">
        <v>15</v>
      </c>
      <c r="K94" s="16" t="s">
        <v>66</v>
      </c>
    </row>
    <row r="95" customFormat="false" ht="15.75" hidden="false" customHeight="true" outlineLevel="0" collapsed="false">
      <c r="A95" s="13" t="n">
        <v>2026</v>
      </c>
      <c r="B95" s="13" t="s">
        <v>13</v>
      </c>
      <c r="C95" s="13" t="s">
        <v>14</v>
      </c>
      <c r="D95" s="13" t="s">
        <v>15</v>
      </c>
      <c r="E95" s="13" t="s">
        <v>16</v>
      </c>
      <c r="F95" s="13" t="s">
        <v>17</v>
      </c>
      <c r="G95" s="13" t="s">
        <v>18</v>
      </c>
      <c r="H95" s="14" t="s">
        <v>19</v>
      </c>
      <c r="I95" s="14" t="n">
        <v>215.81</v>
      </c>
      <c r="J95" s="15" t="n">
        <v>1</v>
      </c>
      <c r="K95" s="13" t="s">
        <v>20</v>
      </c>
    </row>
    <row r="96" customFormat="false" ht="15.75" hidden="false" customHeight="true" outlineLevel="0" collapsed="false">
      <c r="A96" s="16" t="n">
        <v>2026</v>
      </c>
      <c r="B96" s="16" t="s">
        <v>13</v>
      </c>
      <c r="C96" s="16" t="s">
        <v>14</v>
      </c>
      <c r="D96" s="16" t="s">
        <v>21</v>
      </c>
      <c r="E96" s="16" t="s">
        <v>16</v>
      </c>
      <c r="F96" s="16" t="s">
        <v>22</v>
      </c>
      <c r="G96" s="16" t="s">
        <v>23</v>
      </c>
      <c r="H96" s="17" t="s">
        <v>19</v>
      </c>
      <c r="I96" s="17" t="n">
        <v>312.05</v>
      </c>
      <c r="J96" s="18" t="n">
        <v>1</v>
      </c>
      <c r="K96" s="16" t="s">
        <v>20</v>
      </c>
    </row>
    <row r="97" customFormat="false" ht="15.75" hidden="false" customHeight="true" outlineLevel="0" collapsed="false">
      <c r="A97" s="13" t="n">
        <v>2026</v>
      </c>
      <c r="B97" s="13" t="s">
        <v>13</v>
      </c>
      <c r="C97" s="13" t="s">
        <v>14</v>
      </c>
      <c r="D97" s="13" t="s">
        <v>24</v>
      </c>
      <c r="E97" s="13" t="s">
        <v>16</v>
      </c>
      <c r="F97" s="13" t="s">
        <v>25</v>
      </c>
      <c r="G97" s="13" t="s">
        <v>26</v>
      </c>
      <c r="H97" s="14" t="s">
        <v>19</v>
      </c>
      <c r="I97" s="14" t="n">
        <v>78</v>
      </c>
      <c r="J97" s="15" t="n">
        <v>1</v>
      </c>
      <c r="K97" s="13" t="s">
        <v>20</v>
      </c>
    </row>
    <row r="98" customFormat="false" ht="15.75" hidden="false" customHeight="true" outlineLevel="0" collapsed="false">
      <c r="A98" s="16" t="n">
        <v>2026</v>
      </c>
      <c r="B98" s="16" t="s">
        <v>13</v>
      </c>
      <c r="C98" s="16" t="s">
        <v>14</v>
      </c>
      <c r="D98" s="16" t="s">
        <v>24</v>
      </c>
      <c r="E98" s="16" t="s">
        <v>16</v>
      </c>
      <c r="F98" s="16" t="s">
        <v>27</v>
      </c>
      <c r="G98" s="16" t="s">
        <v>28</v>
      </c>
      <c r="H98" s="17" t="s">
        <v>19</v>
      </c>
      <c r="I98" s="17" t="n">
        <v>68.03</v>
      </c>
      <c r="J98" s="18" t="n">
        <v>1</v>
      </c>
      <c r="K98" s="16" t="s">
        <v>20</v>
      </c>
    </row>
    <row r="99" customFormat="false" ht="15.75" hidden="false" customHeight="true" outlineLevel="0" collapsed="false">
      <c r="A99" s="13" t="n">
        <v>2026</v>
      </c>
      <c r="B99" s="13" t="s">
        <v>13</v>
      </c>
      <c r="C99" s="13" t="s">
        <v>14</v>
      </c>
      <c r="D99" s="13" t="s">
        <v>29</v>
      </c>
      <c r="E99" s="13" t="s">
        <v>16</v>
      </c>
      <c r="F99" s="13" t="s">
        <v>30</v>
      </c>
      <c r="G99" s="13" t="s">
        <v>31</v>
      </c>
      <c r="H99" s="14" t="s">
        <v>19</v>
      </c>
      <c r="I99" s="14" t="n">
        <v>17.74</v>
      </c>
      <c r="J99" s="15" t="n">
        <v>1</v>
      </c>
      <c r="K99" s="13" t="s">
        <v>20</v>
      </c>
    </row>
    <row r="100" customFormat="false" ht="15.75" hidden="false" customHeight="true" outlineLevel="0" collapsed="false">
      <c r="A100" s="16" t="n">
        <v>2026</v>
      </c>
      <c r="B100" s="16" t="s">
        <v>13</v>
      </c>
      <c r="C100" s="16" t="s">
        <v>32</v>
      </c>
      <c r="D100" s="16" t="s">
        <v>33</v>
      </c>
      <c r="E100" s="16" t="s">
        <v>16</v>
      </c>
      <c r="F100" s="16" t="s">
        <v>34</v>
      </c>
      <c r="G100" s="16" t="s">
        <v>35</v>
      </c>
      <c r="H100" s="17" t="s">
        <v>19</v>
      </c>
      <c r="I100" s="17" t="n">
        <v>16.51</v>
      </c>
      <c r="J100" s="18" t="n">
        <v>1</v>
      </c>
      <c r="K100" s="16" t="s">
        <v>20</v>
      </c>
    </row>
    <row r="101" customFormat="false" ht="15" hidden="false" customHeight="true" outlineLevel="0" collapsed="false">
      <c r="A101" s="13" t="n">
        <v>2026</v>
      </c>
      <c r="B101" s="13" t="s">
        <v>13</v>
      </c>
      <c r="C101" s="13" t="s">
        <v>14</v>
      </c>
      <c r="D101" s="13" t="s">
        <v>29</v>
      </c>
      <c r="E101" s="13" t="s">
        <v>16</v>
      </c>
      <c r="F101" s="13" t="s">
        <v>36</v>
      </c>
      <c r="G101" s="13" t="s">
        <v>37</v>
      </c>
      <c r="H101" s="14" t="s">
        <v>19</v>
      </c>
      <c r="I101" s="14" t="n">
        <v>26.85</v>
      </c>
      <c r="J101" s="15" t="n">
        <v>1</v>
      </c>
      <c r="K101" s="13" t="s">
        <v>20</v>
      </c>
    </row>
    <row r="102" customFormat="false" ht="15" hidden="false" customHeight="true" outlineLevel="0" collapsed="false">
      <c r="A102" s="16" t="n">
        <v>2026</v>
      </c>
      <c r="B102" s="16" t="s">
        <v>38</v>
      </c>
      <c r="C102" s="16" t="s">
        <v>39</v>
      </c>
      <c r="D102" s="16" t="s">
        <v>40</v>
      </c>
      <c r="E102" s="16" t="s">
        <v>41</v>
      </c>
      <c r="F102" s="16" t="s">
        <v>42</v>
      </c>
      <c r="G102" s="16" t="s">
        <v>43</v>
      </c>
      <c r="H102" s="17" t="s">
        <v>19</v>
      </c>
      <c r="I102" s="17" t="s">
        <v>19</v>
      </c>
      <c r="J102" s="18" t="n">
        <v>18798</v>
      </c>
      <c r="K102" s="16" t="s">
        <v>44</v>
      </c>
    </row>
    <row r="103" customFormat="false" ht="15" hidden="false" customHeight="true" outlineLevel="0" collapsed="false">
      <c r="A103" s="13" t="n">
        <v>2026</v>
      </c>
      <c r="B103" s="13" t="s">
        <v>38</v>
      </c>
      <c r="C103" s="13" t="s">
        <v>39</v>
      </c>
      <c r="D103" s="13" t="s">
        <v>40</v>
      </c>
      <c r="E103" s="13" t="s">
        <v>41</v>
      </c>
      <c r="F103" s="13" t="s">
        <v>45</v>
      </c>
      <c r="G103" s="13" t="s">
        <v>46</v>
      </c>
      <c r="H103" s="14" t="s">
        <v>19</v>
      </c>
      <c r="I103" s="14" t="s">
        <v>19</v>
      </c>
      <c r="J103" s="15" t="n">
        <v>8166</v>
      </c>
      <c r="K103" s="13" t="s">
        <v>44</v>
      </c>
    </row>
    <row r="104" customFormat="false" ht="15" hidden="false" customHeight="true" outlineLevel="0" collapsed="false">
      <c r="A104" s="16" t="n">
        <v>2026</v>
      </c>
      <c r="B104" s="16" t="s">
        <v>38</v>
      </c>
      <c r="C104" s="16" t="s">
        <v>39</v>
      </c>
      <c r="D104" s="16" t="s">
        <v>40</v>
      </c>
      <c r="E104" s="16" t="s">
        <v>41</v>
      </c>
      <c r="F104" s="16" t="s">
        <v>47</v>
      </c>
      <c r="G104" s="16" t="s">
        <v>48</v>
      </c>
      <c r="H104" s="17" t="s">
        <v>19</v>
      </c>
      <c r="I104" s="17" t="s">
        <v>19</v>
      </c>
      <c r="J104" s="18" t="n">
        <v>13858</v>
      </c>
      <c r="K104" s="16" t="s">
        <v>44</v>
      </c>
    </row>
    <row r="105" customFormat="false" ht="15" hidden="false" customHeight="true" outlineLevel="0" collapsed="false">
      <c r="A105" s="13" t="n">
        <v>2026</v>
      </c>
      <c r="B105" s="13" t="s">
        <v>49</v>
      </c>
      <c r="C105" s="13" t="s">
        <v>50</v>
      </c>
      <c r="D105" s="13" t="s">
        <v>51</v>
      </c>
      <c r="E105" s="13" t="s">
        <v>52</v>
      </c>
      <c r="F105" s="13" t="s">
        <v>53</v>
      </c>
      <c r="G105" s="13" t="s">
        <v>54</v>
      </c>
      <c r="H105" s="14" t="s">
        <v>19</v>
      </c>
      <c r="I105" s="14" t="s">
        <v>19</v>
      </c>
      <c r="J105" s="15" t="n">
        <v>1050</v>
      </c>
      <c r="K105" s="13" t="s">
        <v>55</v>
      </c>
    </row>
    <row r="106" customFormat="false" ht="15" hidden="false" customHeight="true" outlineLevel="0" collapsed="false">
      <c r="A106" s="16" t="n">
        <v>2026</v>
      </c>
      <c r="B106" s="16" t="s">
        <v>49</v>
      </c>
      <c r="C106" s="16" t="s">
        <v>50</v>
      </c>
      <c r="D106" s="16" t="s">
        <v>51</v>
      </c>
      <c r="E106" s="16" t="s">
        <v>56</v>
      </c>
      <c r="F106" s="16" t="s">
        <v>57</v>
      </c>
      <c r="G106" s="16" t="s">
        <v>58</v>
      </c>
      <c r="H106" s="17" t="s">
        <v>19</v>
      </c>
      <c r="I106" s="17" t="s">
        <v>19</v>
      </c>
      <c r="J106" s="18" t="n">
        <v>268</v>
      </c>
      <c r="K106" s="16" t="s">
        <v>55</v>
      </c>
    </row>
    <row r="107" customFormat="false" ht="15" hidden="false" customHeight="true" outlineLevel="0" collapsed="false">
      <c r="A107" s="13" t="n">
        <v>2026</v>
      </c>
      <c r="B107" s="13" t="s">
        <v>49</v>
      </c>
      <c r="C107" s="13" t="s">
        <v>50</v>
      </c>
      <c r="D107" s="13" t="s">
        <v>51</v>
      </c>
      <c r="E107" s="13" t="s">
        <v>59</v>
      </c>
      <c r="F107" s="13" t="s">
        <v>60</v>
      </c>
      <c r="G107" s="13" t="s">
        <v>61</v>
      </c>
      <c r="H107" s="14" t="s">
        <v>19</v>
      </c>
      <c r="I107" s="14" t="s">
        <v>19</v>
      </c>
      <c r="J107" s="15" t="n">
        <v>3</v>
      </c>
      <c r="K107" s="13" t="s">
        <v>55</v>
      </c>
    </row>
    <row r="108" customFormat="false" ht="15" hidden="false" customHeight="true" outlineLevel="0" collapsed="false">
      <c r="A108" s="16" t="n">
        <v>2026</v>
      </c>
      <c r="B108" s="16" t="s">
        <v>62</v>
      </c>
      <c r="C108" s="16" t="s">
        <v>39</v>
      </c>
      <c r="D108" s="16" t="s">
        <v>51</v>
      </c>
      <c r="E108" s="16" t="s">
        <v>63</v>
      </c>
      <c r="F108" s="16" t="s">
        <v>64</v>
      </c>
      <c r="G108" s="16" t="s">
        <v>65</v>
      </c>
      <c r="H108" s="17" t="s">
        <v>19</v>
      </c>
      <c r="I108" s="17" t="s">
        <v>19</v>
      </c>
      <c r="J108" s="18" t="n">
        <v>19</v>
      </c>
      <c r="K108" s="16" t="s">
        <v>66</v>
      </c>
    </row>
    <row r="109" customFormat="false" ht="15" hidden="false" customHeight="true" outlineLevel="0" collapsed="false">
      <c r="A109" s="13" t="n">
        <v>2026</v>
      </c>
      <c r="B109" s="13" t="s">
        <v>67</v>
      </c>
      <c r="C109" s="13" t="s">
        <v>39</v>
      </c>
      <c r="D109" s="13" t="s">
        <v>51</v>
      </c>
      <c r="E109" s="13" t="s">
        <v>63</v>
      </c>
      <c r="F109" s="13" t="s">
        <v>64</v>
      </c>
      <c r="G109" s="13" t="s">
        <v>68</v>
      </c>
      <c r="H109" s="14" t="s">
        <v>19</v>
      </c>
      <c r="I109" s="14" t="s">
        <v>19</v>
      </c>
      <c r="J109" s="15" t="n">
        <v>41</v>
      </c>
      <c r="K109" s="13" t="s">
        <v>66</v>
      </c>
    </row>
    <row r="110" customFormat="false" ht="15" hidden="false" customHeight="true" outlineLevel="0" collapsed="false">
      <c r="A110" s="16" t="n">
        <v>2026</v>
      </c>
      <c r="B110" s="16" t="s">
        <v>69</v>
      </c>
      <c r="C110" s="16" t="s">
        <v>50</v>
      </c>
      <c r="D110" s="16" t="s">
        <v>51</v>
      </c>
      <c r="E110" s="16" t="s">
        <v>63</v>
      </c>
      <c r="F110" s="16" t="s">
        <v>64</v>
      </c>
      <c r="G110" s="16" t="s">
        <v>70</v>
      </c>
      <c r="H110" s="17" t="s">
        <v>19</v>
      </c>
      <c r="I110" s="17" t="s">
        <v>19</v>
      </c>
      <c r="J110" s="18" t="n">
        <v>33</v>
      </c>
      <c r="K110" s="16" t="s">
        <v>66</v>
      </c>
    </row>
    <row r="111" customFormat="false" ht="15" hidden="false" customHeight="true" outlineLevel="0" collapsed="false">
      <c r="A111" s="13" t="n">
        <v>2026</v>
      </c>
      <c r="B111" s="13" t="s">
        <v>71</v>
      </c>
      <c r="C111" s="13" t="s">
        <v>50</v>
      </c>
      <c r="D111" s="13" t="s">
        <v>51</v>
      </c>
      <c r="E111" s="13" t="s">
        <v>63</v>
      </c>
      <c r="F111" s="13" t="s">
        <v>64</v>
      </c>
      <c r="G111" s="13" t="s">
        <v>72</v>
      </c>
      <c r="H111" s="14" t="s">
        <v>19</v>
      </c>
      <c r="I111" s="14" t="s">
        <v>19</v>
      </c>
      <c r="J111" s="15" t="n">
        <v>4</v>
      </c>
      <c r="K111" s="13" t="s">
        <v>66</v>
      </c>
    </row>
    <row r="112" customFormat="false" ht="15" hidden="false" customHeight="true" outlineLevel="0" collapsed="false">
      <c r="A112" s="16" t="n">
        <v>2026</v>
      </c>
      <c r="B112" s="16" t="s">
        <v>73</v>
      </c>
      <c r="C112" s="16" t="s">
        <v>50</v>
      </c>
      <c r="D112" s="16" t="s">
        <v>51</v>
      </c>
      <c r="E112" s="16" t="s">
        <v>63</v>
      </c>
      <c r="F112" s="16" t="s">
        <v>64</v>
      </c>
      <c r="G112" s="16" t="s">
        <v>74</v>
      </c>
      <c r="H112" s="17" t="s">
        <v>19</v>
      </c>
      <c r="I112" s="17" t="s">
        <v>19</v>
      </c>
      <c r="J112" s="18" t="n">
        <v>15</v>
      </c>
      <c r="K112" s="16" t="s">
        <v>66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09"/>
    <col collapsed="false" customWidth="true" hidden="false" outlineLevel="0" max="3" min="2" style="1" width="18"/>
    <col collapsed="false" customWidth="true" hidden="false" outlineLevel="0" max="4" min="4" style="1" width="15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34"/>
    <col collapsed="false" customWidth="true" hidden="false" outlineLevel="0" max="10" min="9" style="1" width="12"/>
    <col collapsed="false" customWidth="true" hidden="false" outlineLevel="0" max="11" min="11" style="1" width="17"/>
    <col collapsed="false" customWidth="true" hidden="false" outlineLevel="0" max="12" min="12" style="1" width="22"/>
    <col collapsed="false" customWidth="true" hidden="false" outlineLevel="0" max="13" min="13" style="1" width="17"/>
  </cols>
  <sheetData>
    <row r="1" customFormat="false" ht="30" hidden="false" customHeight="true" outlineLevel="0" collapsed="false">
      <c r="A1" s="2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3" t="s">
        <v>76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25.5" hidden="false" customHeight="true" outlineLevel="0" collapsed="false">
      <c r="A4" s="4" t="s">
        <v>2</v>
      </c>
      <c r="B4" s="4" t="s">
        <v>77</v>
      </c>
      <c r="C4" s="4" t="s">
        <v>3</v>
      </c>
      <c r="D4" s="4" t="s">
        <v>5</v>
      </c>
      <c r="E4" s="4" t="s">
        <v>7</v>
      </c>
      <c r="F4" s="4" t="s">
        <v>8</v>
      </c>
      <c r="G4" s="4" t="s">
        <v>6</v>
      </c>
      <c r="H4" s="4" t="s">
        <v>78</v>
      </c>
      <c r="I4" s="4" t="s">
        <v>79</v>
      </c>
      <c r="J4" s="4" t="s">
        <v>80</v>
      </c>
      <c r="K4" s="4" t="s">
        <v>81</v>
      </c>
      <c r="L4" s="4" t="s">
        <v>82</v>
      </c>
      <c r="M4" s="4" t="s">
        <v>12</v>
      </c>
    </row>
    <row r="5" customFormat="false" ht="19.5" hidden="false" customHeight="true" outlineLevel="0" collapsed="false">
      <c r="A5" s="5" t="n">
        <v>2021</v>
      </c>
      <c r="B5" s="5" t="s">
        <v>83</v>
      </c>
      <c r="C5" s="6" t="s">
        <v>69</v>
      </c>
      <c r="D5" s="6" t="s">
        <v>84</v>
      </c>
      <c r="E5" s="6" t="s">
        <v>85</v>
      </c>
      <c r="F5" s="5" t="s">
        <v>86</v>
      </c>
      <c r="G5" s="6" t="s">
        <v>87</v>
      </c>
      <c r="H5" s="6" t="s">
        <v>88</v>
      </c>
      <c r="I5" s="7" t="n">
        <v>7.28</v>
      </c>
      <c r="J5" s="5" t="s">
        <v>89</v>
      </c>
      <c r="K5" s="5" t="s">
        <v>90</v>
      </c>
      <c r="L5" s="6" t="s">
        <v>91</v>
      </c>
      <c r="M5" s="6" t="s">
        <v>66</v>
      </c>
    </row>
    <row r="6" customFormat="false" ht="19.5" hidden="false" customHeight="true" outlineLevel="0" collapsed="false">
      <c r="A6" s="9" t="n">
        <v>2021</v>
      </c>
      <c r="B6" s="9" t="s">
        <v>83</v>
      </c>
      <c r="C6" s="10" t="s">
        <v>69</v>
      </c>
      <c r="D6" s="10" t="s">
        <v>84</v>
      </c>
      <c r="E6" s="10" t="s">
        <v>85</v>
      </c>
      <c r="F6" s="9" t="s">
        <v>86</v>
      </c>
      <c r="G6" s="10" t="s">
        <v>87</v>
      </c>
      <c r="H6" s="10" t="s">
        <v>92</v>
      </c>
      <c r="I6" s="11" t="n">
        <v>4.2</v>
      </c>
      <c r="J6" s="9" t="s">
        <v>93</v>
      </c>
      <c r="K6" s="9" t="s">
        <v>94</v>
      </c>
      <c r="L6" s="10" t="s">
        <v>91</v>
      </c>
      <c r="M6" s="10" t="s">
        <v>66</v>
      </c>
    </row>
    <row r="7" customFormat="false" ht="19.5" hidden="false" customHeight="true" outlineLevel="0" collapsed="false">
      <c r="A7" s="5" t="n">
        <v>2021</v>
      </c>
      <c r="B7" s="5" t="s">
        <v>83</v>
      </c>
      <c r="C7" s="6" t="s">
        <v>69</v>
      </c>
      <c r="D7" s="6" t="s">
        <v>84</v>
      </c>
      <c r="E7" s="6" t="s">
        <v>85</v>
      </c>
      <c r="F7" s="5" t="s">
        <v>86</v>
      </c>
      <c r="G7" s="6" t="s">
        <v>87</v>
      </c>
      <c r="H7" s="6" t="s">
        <v>95</v>
      </c>
      <c r="I7" s="7" t="n">
        <v>3.3</v>
      </c>
      <c r="J7" s="5" t="s">
        <v>93</v>
      </c>
      <c r="K7" s="5" t="s">
        <v>96</v>
      </c>
      <c r="L7" s="6" t="s">
        <v>97</v>
      </c>
      <c r="M7" s="6" t="s">
        <v>66</v>
      </c>
    </row>
    <row r="8" customFormat="false" ht="19.5" hidden="false" customHeight="true" outlineLevel="0" collapsed="false">
      <c r="A8" s="9" t="n">
        <v>2021</v>
      </c>
      <c r="B8" s="9" t="s">
        <v>83</v>
      </c>
      <c r="C8" s="10" t="s">
        <v>69</v>
      </c>
      <c r="D8" s="10" t="s">
        <v>84</v>
      </c>
      <c r="E8" s="10" t="s">
        <v>85</v>
      </c>
      <c r="F8" s="9" t="s">
        <v>86</v>
      </c>
      <c r="G8" s="10" t="s">
        <v>87</v>
      </c>
      <c r="H8" s="10" t="s">
        <v>98</v>
      </c>
      <c r="I8" s="11" t="n">
        <v>15.72</v>
      </c>
      <c r="J8" s="9" t="s">
        <v>93</v>
      </c>
      <c r="K8" s="9" t="s">
        <v>99</v>
      </c>
      <c r="L8" s="10" t="s">
        <v>91</v>
      </c>
      <c r="M8" s="10" t="s">
        <v>66</v>
      </c>
    </row>
    <row r="9" customFormat="false" ht="19.5" hidden="false" customHeight="true" outlineLevel="0" collapsed="false">
      <c r="A9" s="5" t="n">
        <v>2021</v>
      </c>
      <c r="B9" s="5" t="s">
        <v>100</v>
      </c>
      <c r="C9" s="6" t="s">
        <v>13</v>
      </c>
      <c r="D9" s="6" t="s">
        <v>29</v>
      </c>
      <c r="E9" s="6" t="s">
        <v>101</v>
      </c>
      <c r="F9" s="5" t="s">
        <v>102</v>
      </c>
      <c r="G9" s="6" t="s">
        <v>103</v>
      </c>
      <c r="H9" s="6" t="s">
        <v>104</v>
      </c>
      <c r="I9" s="7" t="n">
        <v>2081.236</v>
      </c>
      <c r="J9" s="5" t="s">
        <v>105</v>
      </c>
      <c r="K9" s="5" t="s">
        <v>106</v>
      </c>
      <c r="L9" s="6" t="s">
        <v>97</v>
      </c>
      <c r="M9" s="6" t="s">
        <v>107</v>
      </c>
    </row>
    <row r="10" customFormat="false" ht="19.5" hidden="false" customHeight="true" outlineLevel="0" collapsed="false">
      <c r="A10" s="9" t="n">
        <v>2021</v>
      </c>
      <c r="B10" s="9" t="s">
        <v>100</v>
      </c>
      <c r="C10" s="10" t="s">
        <v>108</v>
      </c>
      <c r="D10" s="10" t="s">
        <v>109</v>
      </c>
      <c r="E10" s="10" t="s">
        <v>101</v>
      </c>
      <c r="F10" s="9" t="s">
        <v>110</v>
      </c>
      <c r="G10" s="10" t="s">
        <v>103</v>
      </c>
      <c r="H10" s="10" t="s">
        <v>104</v>
      </c>
      <c r="I10" s="11" t="n">
        <v>2098.952</v>
      </c>
      <c r="J10" s="9" t="s">
        <v>105</v>
      </c>
      <c r="K10" s="9" t="s">
        <v>106</v>
      </c>
      <c r="L10" s="10" t="s">
        <v>97</v>
      </c>
      <c r="M10" s="10" t="s">
        <v>107</v>
      </c>
    </row>
    <row r="11" customFormat="false" ht="19.5" hidden="false" customHeight="true" outlineLevel="0" collapsed="false">
      <c r="A11" s="5" t="n">
        <v>2021</v>
      </c>
      <c r="B11" s="5" t="s">
        <v>100</v>
      </c>
      <c r="C11" s="6" t="s">
        <v>111</v>
      </c>
      <c r="D11" s="6" t="s">
        <v>112</v>
      </c>
      <c r="E11" s="6" t="s">
        <v>101</v>
      </c>
      <c r="F11" s="5" t="s">
        <v>113</v>
      </c>
      <c r="G11" s="6" t="s">
        <v>103</v>
      </c>
      <c r="H11" s="6" t="s">
        <v>104</v>
      </c>
      <c r="I11" s="7" t="n">
        <v>1972.735</v>
      </c>
      <c r="J11" s="5" t="s">
        <v>105</v>
      </c>
      <c r="K11" s="5" t="s">
        <v>106</v>
      </c>
      <c r="L11" s="6" t="s">
        <v>97</v>
      </c>
      <c r="M11" s="6" t="s">
        <v>107</v>
      </c>
    </row>
    <row r="12" customFormat="false" ht="19.5" hidden="false" customHeight="true" outlineLevel="0" collapsed="false">
      <c r="A12" s="9" t="n">
        <v>2021</v>
      </c>
      <c r="B12" s="9" t="s">
        <v>100</v>
      </c>
      <c r="C12" s="10" t="s">
        <v>114</v>
      </c>
      <c r="D12" s="10" t="s">
        <v>115</v>
      </c>
      <c r="E12" s="10" t="s">
        <v>101</v>
      </c>
      <c r="F12" s="9" t="s">
        <v>116</v>
      </c>
      <c r="G12" s="10" t="s">
        <v>103</v>
      </c>
      <c r="H12" s="10" t="s">
        <v>104</v>
      </c>
      <c r="I12" s="11" t="n">
        <v>1248.06</v>
      </c>
      <c r="J12" s="9" t="s">
        <v>105</v>
      </c>
      <c r="K12" s="9" t="s">
        <v>106</v>
      </c>
      <c r="L12" s="10" t="s">
        <v>97</v>
      </c>
      <c r="M12" s="10" t="s">
        <v>107</v>
      </c>
    </row>
    <row r="13" customFormat="false" ht="19.5" hidden="false" customHeight="true" outlineLevel="0" collapsed="false">
      <c r="A13" s="5" t="n">
        <v>2021</v>
      </c>
      <c r="B13" s="5" t="s">
        <v>100</v>
      </c>
      <c r="C13" s="6" t="s">
        <v>73</v>
      </c>
      <c r="D13" s="6" t="s">
        <v>117</v>
      </c>
      <c r="E13" s="6" t="s">
        <v>101</v>
      </c>
      <c r="F13" s="5" t="s">
        <v>118</v>
      </c>
      <c r="G13" s="6" t="s">
        <v>103</v>
      </c>
      <c r="H13" s="6" t="s">
        <v>119</v>
      </c>
      <c r="I13" s="7" t="n">
        <v>328.877</v>
      </c>
      <c r="J13" s="5" t="s">
        <v>120</v>
      </c>
      <c r="K13" s="5" t="s">
        <v>121</v>
      </c>
      <c r="L13" s="6" t="s">
        <v>97</v>
      </c>
      <c r="M13" s="6" t="s">
        <v>107</v>
      </c>
    </row>
    <row r="14" customFormat="false" ht="19.5" hidden="false" customHeight="true" outlineLevel="0" collapsed="false">
      <c r="A14" s="9" t="n">
        <v>2021</v>
      </c>
      <c r="B14" s="9" t="s">
        <v>100</v>
      </c>
      <c r="C14" s="10" t="s">
        <v>73</v>
      </c>
      <c r="D14" s="10" t="s">
        <v>122</v>
      </c>
      <c r="E14" s="10" t="s">
        <v>101</v>
      </c>
      <c r="F14" s="9" t="s">
        <v>123</v>
      </c>
      <c r="G14" s="10" t="s">
        <v>103</v>
      </c>
      <c r="H14" s="10" t="s">
        <v>119</v>
      </c>
      <c r="I14" s="11" t="n">
        <v>270.447</v>
      </c>
      <c r="J14" s="9" t="s">
        <v>120</v>
      </c>
      <c r="K14" s="9" t="s">
        <v>121</v>
      </c>
      <c r="L14" s="10" t="s">
        <v>97</v>
      </c>
      <c r="M14" s="10" t="s">
        <v>107</v>
      </c>
    </row>
    <row r="15" customFormat="false" ht="19.5" hidden="false" customHeight="true" outlineLevel="0" collapsed="false">
      <c r="A15" s="5" t="n">
        <v>2021</v>
      </c>
      <c r="B15" s="5" t="s">
        <v>100</v>
      </c>
      <c r="C15" s="6" t="s">
        <v>69</v>
      </c>
      <c r="D15" s="6" t="s">
        <v>84</v>
      </c>
      <c r="E15" s="6" t="s">
        <v>101</v>
      </c>
      <c r="F15" s="5" t="s">
        <v>124</v>
      </c>
      <c r="G15" s="6" t="s">
        <v>103</v>
      </c>
      <c r="H15" s="6" t="s">
        <v>119</v>
      </c>
      <c r="I15" s="7" t="n">
        <v>310.539</v>
      </c>
      <c r="J15" s="5" t="s">
        <v>120</v>
      </c>
      <c r="K15" s="5" t="s">
        <v>121</v>
      </c>
      <c r="L15" s="6" t="s">
        <v>97</v>
      </c>
      <c r="M15" s="6" t="s">
        <v>107</v>
      </c>
    </row>
    <row r="16" customFormat="false" ht="19.5" hidden="false" customHeight="true" outlineLevel="0" collapsed="false">
      <c r="A16" s="9" t="n">
        <v>2021</v>
      </c>
      <c r="B16" s="9" t="s">
        <v>100</v>
      </c>
      <c r="C16" s="10" t="s">
        <v>38</v>
      </c>
      <c r="D16" s="10" t="s">
        <v>125</v>
      </c>
      <c r="E16" s="10" t="s">
        <v>101</v>
      </c>
      <c r="F16" s="9" t="s">
        <v>126</v>
      </c>
      <c r="G16" s="10" t="s">
        <v>103</v>
      </c>
      <c r="H16" s="10" t="s">
        <v>127</v>
      </c>
      <c r="I16" s="11" t="n">
        <v>19.871</v>
      </c>
      <c r="J16" s="9" t="s">
        <v>105</v>
      </c>
      <c r="K16" s="9" t="s">
        <v>128</v>
      </c>
      <c r="L16" s="10" t="s">
        <v>97</v>
      </c>
      <c r="M16" s="10" t="s">
        <v>107</v>
      </c>
    </row>
    <row r="17" customFormat="false" ht="19.5" hidden="false" customHeight="true" outlineLevel="0" collapsed="false">
      <c r="A17" s="5" t="n">
        <v>2021</v>
      </c>
      <c r="B17" s="5" t="s">
        <v>100</v>
      </c>
      <c r="C17" s="6" t="s">
        <v>38</v>
      </c>
      <c r="D17" s="6" t="s">
        <v>129</v>
      </c>
      <c r="E17" s="6" t="s">
        <v>101</v>
      </c>
      <c r="F17" s="5" t="s">
        <v>130</v>
      </c>
      <c r="G17" s="6" t="s">
        <v>103</v>
      </c>
      <c r="H17" s="6" t="s">
        <v>127</v>
      </c>
      <c r="I17" s="7" t="n">
        <v>20.48</v>
      </c>
      <c r="J17" s="5" t="s">
        <v>105</v>
      </c>
      <c r="K17" s="5" t="s">
        <v>128</v>
      </c>
      <c r="L17" s="6" t="s">
        <v>97</v>
      </c>
      <c r="M17" s="6" t="s">
        <v>107</v>
      </c>
    </row>
    <row r="18" customFormat="false" ht="19.5" hidden="false" customHeight="true" outlineLevel="0" collapsed="false">
      <c r="A18" s="9" t="n">
        <v>2021</v>
      </c>
      <c r="B18" s="9" t="s">
        <v>100</v>
      </c>
      <c r="C18" s="10" t="s">
        <v>114</v>
      </c>
      <c r="D18" s="10" t="s">
        <v>131</v>
      </c>
      <c r="E18" s="10" t="s">
        <v>101</v>
      </c>
      <c r="F18" s="9" t="s">
        <v>132</v>
      </c>
      <c r="G18" s="10" t="s">
        <v>103</v>
      </c>
      <c r="H18" s="10" t="s">
        <v>133</v>
      </c>
      <c r="I18" s="11" t="n">
        <v>1086.435</v>
      </c>
      <c r="J18" s="9" t="s">
        <v>120</v>
      </c>
      <c r="K18" s="9" t="s">
        <v>134</v>
      </c>
      <c r="L18" s="10" t="s">
        <v>97</v>
      </c>
      <c r="M18" s="10" t="s">
        <v>107</v>
      </c>
    </row>
    <row r="19" customFormat="false" ht="19.5" hidden="false" customHeight="true" outlineLevel="0" collapsed="false">
      <c r="A19" s="5" t="n">
        <v>2021</v>
      </c>
      <c r="B19" s="5" t="s">
        <v>100</v>
      </c>
      <c r="C19" s="6" t="s">
        <v>111</v>
      </c>
      <c r="D19" s="6" t="s">
        <v>135</v>
      </c>
      <c r="E19" s="6" t="s">
        <v>101</v>
      </c>
      <c r="F19" s="5" t="s">
        <v>136</v>
      </c>
      <c r="G19" s="6" t="s">
        <v>103</v>
      </c>
      <c r="H19" s="6" t="s">
        <v>133</v>
      </c>
      <c r="I19" s="7" t="n">
        <v>697.684</v>
      </c>
      <c r="J19" s="5" t="s">
        <v>120</v>
      </c>
      <c r="K19" s="5" t="s">
        <v>134</v>
      </c>
      <c r="L19" s="6" t="s">
        <v>97</v>
      </c>
      <c r="M19" s="6" t="s">
        <v>107</v>
      </c>
    </row>
    <row r="20" customFormat="false" ht="19.5" hidden="false" customHeight="true" outlineLevel="0" collapsed="false">
      <c r="A20" s="9" t="n">
        <v>2021</v>
      </c>
      <c r="B20" s="9" t="s">
        <v>100</v>
      </c>
      <c r="C20" s="10" t="s">
        <v>67</v>
      </c>
      <c r="D20" s="10" t="s">
        <v>137</v>
      </c>
      <c r="E20" s="10" t="s">
        <v>101</v>
      </c>
      <c r="F20" s="9" t="s">
        <v>138</v>
      </c>
      <c r="G20" s="10" t="s">
        <v>103</v>
      </c>
      <c r="H20" s="10" t="s">
        <v>139</v>
      </c>
      <c r="I20" s="11" t="n">
        <v>6.553</v>
      </c>
      <c r="J20" s="9" t="s">
        <v>105</v>
      </c>
      <c r="K20" s="9" t="s">
        <v>140</v>
      </c>
      <c r="L20" s="10" t="s">
        <v>97</v>
      </c>
      <c r="M20" s="10" t="s">
        <v>107</v>
      </c>
    </row>
    <row r="21" customFormat="false" ht="19.5" hidden="false" customHeight="true" outlineLevel="0" collapsed="false">
      <c r="A21" s="5" t="n">
        <v>2021</v>
      </c>
      <c r="B21" s="5" t="s">
        <v>100</v>
      </c>
      <c r="C21" s="6" t="s">
        <v>141</v>
      </c>
      <c r="D21" s="6" t="s">
        <v>142</v>
      </c>
      <c r="E21" s="6" t="s">
        <v>101</v>
      </c>
      <c r="F21" s="5" t="s">
        <v>143</v>
      </c>
      <c r="G21" s="6" t="s">
        <v>103</v>
      </c>
      <c r="H21" s="6" t="s">
        <v>139</v>
      </c>
      <c r="I21" s="7" t="n">
        <v>7.449</v>
      </c>
      <c r="J21" s="5" t="s">
        <v>105</v>
      </c>
      <c r="K21" s="5" t="s">
        <v>140</v>
      </c>
      <c r="L21" s="6" t="s">
        <v>97</v>
      </c>
      <c r="M21" s="6" t="s">
        <v>107</v>
      </c>
    </row>
    <row r="22" customFormat="false" ht="19.5" hidden="false" customHeight="true" outlineLevel="0" collapsed="false">
      <c r="A22" s="9" t="n">
        <v>2021</v>
      </c>
      <c r="B22" s="9" t="s">
        <v>100</v>
      </c>
      <c r="C22" s="10" t="s">
        <v>111</v>
      </c>
      <c r="D22" s="10" t="s">
        <v>144</v>
      </c>
      <c r="E22" s="10" t="s">
        <v>101</v>
      </c>
      <c r="F22" s="9" t="s">
        <v>145</v>
      </c>
      <c r="G22" s="10" t="s">
        <v>103</v>
      </c>
      <c r="H22" s="10" t="s">
        <v>146</v>
      </c>
      <c r="I22" s="11" t="n">
        <v>0.363</v>
      </c>
      <c r="J22" s="9" t="s">
        <v>105</v>
      </c>
      <c r="K22" s="9" t="s">
        <v>147</v>
      </c>
      <c r="L22" s="10" t="s">
        <v>97</v>
      </c>
      <c r="M22" s="10" t="s">
        <v>107</v>
      </c>
    </row>
    <row r="23" customFormat="false" ht="19.5" hidden="false" customHeight="true" outlineLevel="0" collapsed="false">
      <c r="A23" s="5" t="n">
        <v>2021</v>
      </c>
      <c r="B23" s="5" t="s">
        <v>100</v>
      </c>
      <c r="C23" s="6" t="s">
        <v>148</v>
      </c>
      <c r="D23" s="6" t="s">
        <v>149</v>
      </c>
      <c r="E23" s="6" t="s">
        <v>101</v>
      </c>
      <c r="F23" s="5" t="s">
        <v>150</v>
      </c>
      <c r="G23" s="6" t="s">
        <v>103</v>
      </c>
      <c r="H23" s="6" t="s">
        <v>151</v>
      </c>
      <c r="I23" s="7" t="n">
        <v>57.02</v>
      </c>
      <c r="J23" s="5" t="s">
        <v>105</v>
      </c>
      <c r="K23" s="5" t="s">
        <v>152</v>
      </c>
      <c r="L23" s="6" t="s">
        <v>97</v>
      </c>
      <c r="M23" s="6" t="s">
        <v>107</v>
      </c>
    </row>
    <row r="24" customFormat="false" ht="15.75" hidden="false" customHeight="true" outlineLevel="0" collapsed="false">
      <c r="A24" s="16" t="n">
        <v>2022</v>
      </c>
      <c r="B24" s="16" t="s">
        <v>153</v>
      </c>
      <c r="C24" s="16" t="s">
        <v>69</v>
      </c>
      <c r="D24" s="16" t="s">
        <v>84</v>
      </c>
      <c r="E24" s="16" t="s">
        <v>85</v>
      </c>
      <c r="F24" s="16" t="s">
        <v>86</v>
      </c>
      <c r="G24" s="16" t="s">
        <v>87</v>
      </c>
      <c r="H24" s="16" t="s">
        <v>88</v>
      </c>
      <c r="I24" s="17" t="n">
        <v>7.51</v>
      </c>
      <c r="J24" s="16" t="s">
        <v>89</v>
      </c>
      <c r="K24" s="16" t="s">
        <v>90</v>
      </c>
      <c r="L24" s="16" t="s">
        <v>91</v>
      </c>
      <c r="M24" s="16" t="s">
        <v>66</v>
      </c>
    </row>
    <row r="25" customFormat="false" ht="15.75" hidden="false" customHeight="true" outlineLevel="0" collapsed="false">
      <c r="A25" s="13" t="n">
        <v>2022</v>
      </c>
      <c r="B25" s="13" t="s">
        <v>153</v>
      </c>
      <c r="C25" s="13" t="s">
        <v>69</v>
      </c>
      <c r="D25" s="13" t="s">
        <v>84</v>
      </c>
      <c r="E25" s="13" t="s">
        <v>85</v>
      </c>
      <c r="F25" s="13" t="s">
        <v>86</v>
      </c>
      <c r="G25" s="13" t="s">
        <v>87</v>
      </c>
      <c r="H25" s="13" t="s">
        <v>92</v>
      </c>
      <c r="I25" s="14" t="n">
        <v>4.48</v>
      </c>
      <c r="J25" s="13" t="s">
        <v>93</v>
      </c>
      <c r="K25" s="13" t="s">
        <v>94</v>
      </c>
      <c r="L25" s="13" t="s">
        <v>91</v>
      </c>
      <c r="M25" s="13" t="s">
        <v>66</v>
      </c>
    </row>
    <row r="26" customFormat="false" ht="15.75" hidden="false" customHeight="true" outlineLevel="0" collapsed="false">
      <c r="A26" s="16" t="n">
        <v>2022</v>
      </c>
      <c r="B26" s="16" t="s">
        <v>153</v>
      </c>
      <c r="C26" s="16" t="s">
        <v>69</v>
      </c>
      <c r="D26" s="16" t="s">
        <v>84</v>
      </c>
      <c r="E26" s="16" t="s">
        <v>85</v>
      </c>
      <c r="F26" s="16" t="s">
        <v>86</v>
      </c>
      <c r="G26" s="16" t="s">
        <v>87</v>
      </c>
      <c r="H26" s="16" t="s">
        <v>95</v>
      </c>
      <c r="I26" s="17" t="n">
        <v>3.1</v>
      </c>
      <c r="J26" s="16" t="s">
        <v>93</v>
      </c>
      <c r="K26" s="16" t="s">
        <v>96</v>
      </c>
      <c r="L26" s="16" t="s">
        <v>97</v>
      </c>
      <c r="M26" s="16" t="s">
        <v>66</v>
      </c>
    </row>
    <row r="27" customFormat="false" ht="15.75" hidden="false" customHeight="true" outlineLevel="0" collapsed="false">
      <c r="A27" s="13" t="n">
        <v>2022</v>
      </c>
      <c r="B27" s="13" t="s">
        <v>153</v>
      </c>
      <c r="C27" s="13" t="s">
        <v>69</v>
      </c>
      <c r="D27" s="13" t="s">
        <v>84</v>
      </c>
      <c r="E27" s="13" t="s">
        <v>85</v>
      </c>
      <c r="F27" s="13" t="s">
        <v>86</v>
      </c>
      <c r="G27" s="13" t="s">
        <v>87</v>
      </c>
      <c r="H27" s="13" t="s">
        <v>98</v>
      </c>
      <c r="I27" s="14" t="n">
        <v>14.74</v>
      </c>
      <c r="J27" s="13" t="s">
        <v>93</v>
      </c>
      <c r="K27" s="13" t="s">
        <v>99</v>
      </c>
      <c r="L27" s="13" t="s">
        <v>91</v>
      </c>
      <c r="M27" s="13" t="s">
        <v>66</v>
      </c>
    </row>
    <row r="28" customFormat="false" ht="15.75" hidden="false" customHeight="true" outlineLevel="0" collapsed="false">
      <c r="A28" s="16" t="n">
        <v>2022</v>
      </c>
      <c r="B28" s="16" t="s">
        <v>154</v>
      </c>
      <c r="C28" s="16" t="s">
        <v>13</v>
      </c>
      <c r="D28" s="16" t="s">
        <v>29</v>
      </c>
      <c r="E28" s="16" t="s">
        <v>101</v>
      </c>
      <c r="F28" s="16" t="s">
        <v>102</v>
      </c>
      <c r="G28" s="16" t="s">
        <v>103</v>
      </c>
      <c r="H28" s="16" t="s">
        <v>104</v>
      </c>
      <c r="I28" s="17" t="n">
        <v>2461.135</v>
      </c>
      <c r="J28" s="16" t="s">
        <v>105</v>
      </c>
      <c r="K28" s="16" t="s">
        <v>106</v>
      </c>
      <c r="L28" s="16" t="s">
        <v>97</v>
      </c>
      <c r="M28" s="16" t="s">
        <v>107</v>
      </c>
    </row>
    <row r="29" customFormat="false" ht="15.75" hidden="false" customHeight="true" outlineLevel="0" collapsed="false">
      <c r="A29" s="13" t="n">
        <v>2022</v>
      </c>
      <c r="B29" s="13" t="s">
        <v>154</v>
      </c>
      <c r="C29" s="13" t="s">
        <v>108</v>
      </c>
      <c r="D29" s="13" t="s">
        <v>109</v>
      </c>
      <c r="E29" s="13" t="s">
        <v>101</v>
      </c>
      <c r="F29" s="13" t="s">
        <v>110</v>
      </c>
      <c r="G29" s="13" t="s">
        <v>103</v>
      </c>
      <c r="H29" s="13" t="s">
        <v>104</v>
      </c>
      <c r="I29" s="14" t="n">
        <v>1794.98</v>
      </c>
      <c r="J29" s="13" t="s">
        <v>105</v>
      </c>
      <c r="K29" s="13" t="s">
        <v>106</v>
      </c>
      <c r="L29" s="13" t="s">
        <v>97</v>
      </c>
      <c r="M29" s="13" t="s">
        <v>107</v>
      </c>
    </row>
    <row r="30" customFormat="false" ht="15.75" hidden="false" customHeight="true" outlineLevel="0" collapsed="false">
      <c r="A30" s="16" t="n">
        <v>2022</v>
      </c>
      <c r="B30" s="16" t="s">
        <v>154</v>
      </c>
      <c r="C30" s="16" t="s">
        <v>111</v>
      </c>
      <c r="D30" s="16" t="s">
        <v>112</v>
      </c>
      <c r="E30" s="16" t="s">
        <v>101</v>
      </c>
      <c r="F30" s="16" t="s">
        <v>113</v>
      </c>
      <c r="G30" s="16" t="s">
        <v>103</v>
      </c>
      <c r="H30" s="16" t="s">
        <v>104</v>
      </c>
      <c r="I30" s="17" t="n">
        <v>2021.828</v>
      </c>
      <c r="J30" s="16" t="s">
        <v>105</v>
      </c>
      <c r="K30" s="16" t="s">
        <v>106</v>
      </c>
      <c r="L30" s="16" t="s">
        <v>97</v>
      </c>
      <c r="M30" s="16" t="s">
        <v>107</v>
      </c>
    </row>
    <row r="31" customFormat="false" ht="15.75" hidden="false" customHeight="true" outlineLevel="0" collapsed="false">
      <c r="A31" s="13" t="n">
        <v>2022</v>
      </c>
      <c r="B31" s="13" t="s">
        <v>154</v>
      </c>
      <c r="C31" s="13" t="s">
        <v>114</v>
      </c>
      <c r="D31" s="13" t="s">
        <v>115</v>
      </c>
      <c r="E31" s="13" t="s">
        <v>101</v>
      </c>
      <c r="F31" s="13" t="s">
        <v>116</v>
      </c>
      <c r="G31" s="13" t="s">
        <v>103</v>
      </c>
      <c r="H31" s="13" t="s">
        <v>104</v>
      </c>
      <c r="I31" s="14" t="n">
        <v>1218.471</v>
      </c>
      <c r="J31" s="13" t="s">
        <v>105</v>
      </c>
      <c r="K31" s="13" t="s">
        <v>106</v>
      </c>
      <c r="L31" s="13" t="s">
        <v>97</v>
      </c>
      <c r="M31" s="13" t="s">
        <v>107</v>
      </c>
    </row>
    <row r="32" customFormat="false" ht="15.75" hidden="false" customHeight="true" outlineLevel="0" collapsed="false">
      <c r="A32" s="16" t="n">
        <v>2022</v>
      </c>
      <c r="B32" s="16" t="s">
        <v>154</v>
      </c>
      <c r="C32" s="16" t="s">
        <v>73</v>
      </c>
      <c r="D32" s="16" t="s">
        <v>117</v>
      </c>
      <c r="E32" s="16" t="s">
        <v>101</v>
      </c>
      <c r="F32" s="16" t="s">
        <v>118</v>
      </c>
      <c r="G32" s="16" t="s">
        <v>103</v>
      </c>
      <c r="H32" s="16" t="s">
        <v>119</v>
      </c>
      <c r="I32" s="17" t="n">
        <v>368.488</v>
      </c>
      <c r="J32" s="16" t="s">
        <v>120</v>
      </c>
      <c r="K32" s="16" t="s">
        <v>121</v>
      </c>
      <c r="L32" s="16" t="s">
        <v>97</v>
      </c>
      <c r="M32" s="16" t="s">
        <v>107</v>
      </c>
    </row>
    <row r="33" customFormat="false" ht="15.75" hidden="false" customHeight="true" outlineLevel="0" collapsed="false">
      <c r="A33" s="13" t="n">
        <v>2022</v>
      </c>
      <c r="B33" s="13" t="s">
        <v>154</v>
      </c>
      <c r="C33" s="13" t="s">
        <v>73</v>
      </c>
      <c r="D33" s="13" t="s">
        <v>122</v>
      </c>
      <c r="E33" s="13" t="s">
        <v>101</v>
      </c>
      <c r="F33" s="13" t="s">
        <v>123</v>
      </c>
      <c r="G33" s="13" t="s">
        <v>103</v>
      </c>
      <c r="H33" s="13" t="s">
        <v>119</v>
      </c>
      <c r="I33" s="14" t="n">
        <v>284.015</v>
      </c>
      <c r="J33" s="13" t="s">
        <v>120</v>
      </c>
      <c r="K33" s="13" t="s">
        <v>121</v>
      </c>
      <c r="L33" s="13" t="s">
        <v>97</v>
      </c>
      <c r="M33" s="13" t="s">
        <v>107</v>
      </c>
    </row>
    <row r="34" customFormat="false" ht="15.75" hidden="false" customHeight="true" outlineLevel="0" collapsed="false">
      <c r="A34" s="16" t="n">
        <v>2022</v>
      </c>
      <c r="B34" s="16" t="s">
        <v>154</v>
      </c>
      <c r="C34" s="16" t="s">
        <v>69</v>
      </c>
      <c r="D34" s="16" t="s">
        <v>84</v>
      </c>
      <c r="E34" s="16" t="s">
        <v>101</v>
      </c>
      <c r="F34" s="16" t="s">
        <v>124</v>
      </c>
      <c r="G34" s="16" t="s">
        <v>103</v>
      </c>
      <c r="H34" s="16" t="s">
        <v>119</v>
      </c>
      <c r="I34" s="17" t="n">
        <v>305.731</v>
      </c>
      <c r="J34" s="16" t="s">
        <v>120</v>
      </c>
      <c r="K34" s="16" t="s">
        <v>121</v>
      </c>
      <c r="L34" s="16" t="s">
        <v>97</v>
      </c>
      <c r="M34" s="16" t="s">
        <v>107</v>
      </c>
    </row>
    <row r="35" customFormat="false" ht="15.75" hidden="false" customHeight="true" outlineLevel="0" collapsed="false">
      <c r="A35" s="13" t="n">
        <v>2022</v>
      </c>
      <c r="B35" s="13" t="s">
        <v>154</v>
      </c>
      <c r="C35" s="13" t="s">
        <v>38</v>
      </c>
      <c r="D35" s="13" t="s">
        <v>125</v>
      </c>
      <c r="E35" s="13" t="s">
        <v>101</v>
      </c>
      <c r="F35" s="13" t="s">
        <v>126</v>
      </c>
      <c r="G35" s="13" t="s">
        <v>103</v>
      </c>
      <c r="H35" s="13" t="s">
        <v>127</v>
      </c>
      <c r="I35" s="14" t="n">
        <v>21.601</v>
      </c>
      <c r="J35" s="13" t="s">
        <v>105</v>
      </c>
      <c r="K35" s="13" t="s">
        <v>128</v>
      </c>
      <c r="L35" s="13" t="s">
        <v>97</v>
      </c>
      <c r="M35" s="13" t="s">
        <v>107</v>
      </c>
    </row>
    <row r="36" customFormat="false" ht="15.75" hidden="false" customHeight="true" outlineLevel="0" collapsed="false">
      <c r="A36" s="16" t="n">
        <v>2022</v>
      </c>
      <c r="B36" s="16" t="s">
        <v>154</v>
      </c>
      <c r="C36" s="16" t="s">
        <v>38</v>
      </c>
      <c r="D36" s="16" t="s">
        <v>129</v>
      </c>
      <c r="E36" s="16" t="s">
        <v>101</v>
      </c>
      <c r="F36" s="16" t="s">
        <v>130</v>
      </c>
      <c r="G36" s="16" t="s">
        <v>103</v>
      </c>
      <c r="H36" s="16" t="s">
        <v>127</v>
      </c>
      <c r="I36" s="17" t="n">
        <v>19.987</v>
      </c>
      <c r="J36" s="16" t="s">
        <v>105</v>
      </c>
      <c r="K36" s="16" t="s">
        <v>128</v>
      </c>
      <c r="L36" s="16" t="s">
        <v>97</v>
      </c>
      <c r="M36" s="16" t="s">
        <v>107</v>
      </c>
    </row>
    <row r="37" customFormat="false" ht="15.75" hidden="false" customHeight="true" outlineLevel="0" collapsed="false">
      <c r="A37" s="13" t="n">
        <v>2022</v>
      </c>
      <c r="B37" s="13" t="s">
        <v>154</v>
      </c>
      <c r="C37" s="13" t="s">
        <v>114</v>
      </c>
      <c r="D37" s="13" t="s">
        <v>131</v>
      </c>
      <c r="E37" s="13" t="s">
        <v>101</v>
      </c>
      <c r="F37" s="13" t="s">
        <v>132</v>
      </c>
      <c r="G37" s="13" t="s">
        <v>103</v>
      </c>
      <c r="H37" s="13" t="s">
        <v>133</v>
      </c>
      <c r="I37" s="14" t="n">
        <v>1098.356</v>
      </c>
      <c r="J37" s="13" t="s">
        <v>120</v>
      </c>
      <c r="K37" s="13" t="s">
        <v>134</v>
      </c>
      <c r="L37" s="13" t="s">
        <v>97</v>
      </c>
      <c r="M37" s="13" t="s">
        <v>107</v>
      </c>
    </row>
    <row r="38" customFormat="false" ht="15.75" hidden="false" customHeight="true" outlineLevel="0" collapsed="false">
      <c r="A38" s="16" t="n">
        <v>2022</v>
      </c>
      <c r="B38" s="16" t="s">
        <v>154</v>
      </c>
      <c r="C38" s="16" t="s">
        <v>111</v>
      </c>
      <c r="D38" s="16" t="s">
        <v>135</v>
      </c>
      <c r="E38" s="16" t="s">
        <v>101</v>
      </c>
      <c r="F38" s="16" t="s">
        <v>136</v>
      </c>
      <c r="G38" s="16" t="s">
        <v>103</v>
      </c>
      <c r="H38" s="16" t="s">
        <v>133</v>
      </c>
      <c r="I38" s="17" t="n">
        <v>675.47</v>
      </c>
      <c r="J38" s="16" t="s">
        <v>120</v>
      </c>
      <c r="K38" s="16" t="s">
        <v>134</v>
      </c>
      <c r="L38" s="16" t="s">
        <v>97</v>
      </c>
      <c r="M38" s="16" t="s">
        <v>107</v>
      </c>
    </row>
    <row r="39" customFormat="false" ht="15.75" hidden="false" customHeight="true" outlineLevel="0" collapsed="false">
      <c r="A39" s="13" t="n">
        <v>2022</v>
      </c>
      <c r="B39" s="13" t="s">
        <v>154</v>
      </c>
      <c r="C39" s="13" t="s">
        <v>67</v>
      </c>
      <c r="D39" s="13" t="s">
        <v>137</v>
      </c>
      <c r="E39" s="13" t="s">
        <v>101</v>
      </c>
      <c r="F39" s="13" t="s">
        <v>138</v>
      </c>
      <c r="G39" s="13" t="s">
        <v>103</v>
      </c>
      <c r="H39" s="13" t="s">
        <v>139</v>
      </c>
      <c r="I39" s="14" t="n">
        <v>6.96</v>
      </c>
      <c r="J39" s="13" t="s">
        <v>105</v>
      </c>
      <c r="K39" s="13" t="s">
        <v>140</v>
      </c>
      <c r="L39" s="13" t="s">
        <v>97</v>
      </c>
      <c r="M39" s="13" t="s">
        <v>107</v>
      </c>
    </row>
    <row r="40" customFormat="false" ht="15.75" hidden="false" customHeight="true" outlineLevel="0" collapsed="false">
      <c r="A40" s="16" t="n">
        <v>2022</v>
      </c>
      <c r="B40" s="16" t="s">
        <v>154</v>
      </c>
      <c r="C40" s="16" t="s">
        <v>141</v>
      </c>
      <c r="D40" s="16" t="s">
        <v>142</v>
      </c>
      <c r="E40" s="16" t="s">
        <v>101</v>
      </c>
      <c r="F40" s="16" t="s">
        <v>143</v>
      </c>
      <c r="G40" s="16" t="s">
        <v>103</v>
      </c>
      <c r="H40" s="16" t="s">
        <v>139</v>
      </c>
      <c r="I40" s="17" t="n">
        <v>7.492</v>
      </c>
      <c r="J40" s="16" t="s">
        <v>105</v>
      </c>
      <c r="K40" s="16" t="s">
        <v>140</v>
      </c>
      <c r="L40" s="16" t="s">
        <v>97</v>
      </c>
      <c r="M40" s="16" t="s">
        <v>107</v>
      </c>
    </row>
    <row r="41" customFormat="false" ht="15.75" hidden="false" customHeight="true" outlineLevel="0" collapsed="false">
      <c r="A41" s="13" t="n">
        <v>2022</v>
      </c>
      <c r="B41" s="13" t="s">
        <v>154</v>
      </c>
      <c r="C41" s="13" t="s">
        <v>111</v>
      </c>
      <c r="D41" s="13" t="s">
        <v>144</v>
      </c>
      <c r="E41" s="13" t="s">
        <v>101</v>
      </c>
      <c r="F41" s="13" t="s">
        <v>145</v>
      </c>
      <c r="G41" s="13" t="s">
        <v>103</v>
      </c>
      <c r="H41" s="13" t="s">
        <v>146</v>
      </c>
      <c r="I41" s="14" t="n">
        <v>0.357</v>
      </c>
      <c r="J41" s="13" t="s">
        <v>105</v>
      </c>
      <c r="K41" s="13" t="s">
        <v>147</v>
      </c>
      <c r="L41" s="13" t="s">
        <v>97</v>
      </c>
      <c r="M41" s="13" t="s">
        <v>107</v>
      </c>
    </row>
    <row r="42" customFormat="false" ht="15.75" hidden="false" customHeight="true" outlineLevel="0" collapsed="false">
      <c r="A42" s="16" t="n">
        <v>2022</v>
      </c>
      <c r="B42" s="16" t="s">
        <v>154</v>
      </c>
      <c r="C42" s="16" t="s">
        <v>148</v>
      </c>
      <c r="D42" s="16" t="s">
        <v>149</v>
      </c>
      <c r="E42" s="16" t="s">
        <v>101</v>
      </c>
      <c r="F42" s="16" t="s">
        <v>150</v>
      </c>
      <c r="G42" s="16" t="s">
        <v>103</v>
      </c>
      <c r="H42" s="16" t="s">
        <v>151</v>
      </c>
      <c r="I42" s="17" t="n">
        <v>63.578</v>
      </c>
      <c r="J42" s="16" t="s">
        <v>105</v>
      </c>
      <c r="K42" s="16" t="s">
        <v>152</v>
      </c>
      <c r="L42" s="16" t="s">
        <v>97</v>
      </c>
      <c r="M42" s="16" t="s">
        <v>107</v>
      </c>
    </row>
    <row r="43" customFormat="false" ht="15.75" hidden="false" customHeight="true" outlineLevel="0" collapsed="false">
      <c r="A43" s="13" t="n">
        <v>2023</v>
      </c>
      <c r="B43" s="13" t="s">
        <v>155</v>
      </c>
      <c r="C43" s="13" t="s">
        <v>69</v>
      </c>
      <c r="D43" s="13" t="s">
        <v>84</v>
      </c>
      <c r="E43" s="13" t="s">
        <v>85</v>
      </c>
      <c r="F43" s="13" t="s">
        <v>86</v>
      </c>
      <c r="G43" s="13" t="s">
        <v>87</v>
      </c>
      <c r="H43" s="13" t="s">
        <v>88</v>
      </c>
      <c r="I43" s="14" t="n">
        <v>7.42</v>
      </c>
      <c r="J43" s="13" t="s">
        <v>89</v>
      </c>
      <c r="K43" s="13" t="s">
        <v>90</v>
      </c>
      <c r="L43" s="13" t="s">
        <v>91</v>
      </c>
      <c r="M43" s="13" t="s">
        <v>66</v>
      </c>
    </row>
    <row r="44" customFormat="false" ht="15.75" hidden="false" customHeight="true" outlineLevel="0" collapsed="false">
      <c r="A44" s="16" t="n">
        <v>2023</v>
      </c>
      <c r="B44" s="16" t="s">
        <v>155</v>
      </c>
      <c r="C44" s="16" t="s">
        <v>69</v>
      </c>
      <c r="D44" s="16" t="s">
        <v>84</v>
      </c>
      <c r="E44" s="16" t="s">
        <v>85</v>
      </c>
      <c r="F44" s="16" t="s">
        <v>86</v>
      </c>
      <c r="G44" s="16" t="s">
        <v>87</v>
      </c>
      <c r="H44" s="16" t="s">
        <v>92</v>
      </c>
      <c r="I44" s="17" t="n">
        <v>4.8</v>
      </c>
      <c r="J44" s="16" t="s">
        <v>93</v>
      </c>
      <c r="K44" s="16" t="s">
        <v>94</v>
      </c>
      <c r="L44" s="16" t="s">
        <v>91</v>
      </c>
      <c r="M44" s="16" t="s">
        <v>66</v>
      </c>
    </row>
    <row r="45" customFormat="false" ht="15.75" hidden="false" customHeight="true" outlineLevel="0" collapsed="false">
      <c r="A45" s="13" t="n">
        <v>2023</v>
      </c>
      <c r="B45" s="13" t="s">
        <v>155</v>
      </c>
      <c r="C45" s="13" t="s">
        <v>69</v>
      </c>
      <c r="D45" s="13" t="s">
        <v>84</v>
      </c>
      <c r="E45" s="13" t="s">
        <v>85</v>
      </c>
      <c r="F45" s="13" t="s">
        <v>86</v>
      </c>
      <c r="G45" s="13" t="s">
        <v>87</v>
      </c>
      <c r="H45" s="13" t="s">
        <v>95</v>
      </c>
      <c r="I45" s="14" t="n">
        <v>2.89</v>
      </c>
      <c r="J45" s="13" t="s">
        <v>93</v>
      </c>
      <c r="K45" s="13" t="s">
        <v>96</v>
      </c>
      <c r="L45" s="13" t="s">
        <v>91</v>
      </c>
      <c r="M45" s="13" t="s">
        <v>66</v>
      </c>
    </row>
    <row r="46" customFormat="false" ht="15.75" hidden="false" customHeight="true" outlineLevel="0" collapsed="false">
      <c r="A46" s="16" t="n">
        <v>2023</v>
      </c>
      <c r="B46" s="16" t="s">
        <v>155</v>
      </c>
      <c r="C46" s="16" t="s">
        <v>69</v>
      </c>
      <c r="D46" s="16" t="s">
        <v>84</v>
      </c>
      <c r="E46" s="16" t="s">
        <v>85</v>
      </c>
      <c r="F46" s="16" t="s">
        <v>86</v>
      </c>
      <c r="G46" s="16" t="s">
        <v>87</v>
      </c>
      <c r="H46" s="16" t="s">
        <v>98</v>
      </c>
      <c r="I46" s="17" t="n">
        <v>13.75</v>
      </c>
      <c r="J46" s="16" t="s">
        <v>93</v>
      </c>
      <c r="K46" s="16" t="s">
        <v>99</v>
      </c>
      <c r="L46" s="16" t="s">
        <v>91</v>
      </c>
      <c r="M46" s="16" t="s">
        <v>66</v>
      </c>
    </row>
    <row r="47" customFormat="false" ht="15.75" hidden="false" customHeight="true" outlineLevel="0" collapsed="false">
      <c r="A47" s="13" t="n">
        <v>2023</v>
      </c>
      <c r="B47" s="13" t="s">
        <v>156</v>
      </c>
      <c r="C47" s="13" t="s">
        <v>13</v>
      </c>
      <c r="D47" s="13" t="s">
        <v>29</v>
      </c>
      <c r="E47" s="13" t="s">
        <v>101</v>
      </c>
      <c r="F47" s="13" t="s">
        <v>102</v>
      </c>
      <c r="G47" s="13" t="s">
        <v>103</v>
      </c>
      <c r="H47" s="13" t="s">
        <v>104</v>
      </c>
      <c r="I47" s="14" t="n">
        <v>2132.15</v>
      </c>
      <c r="J47" s="13" t="s">
        <v>105</v>
      </c>
      <c r="K47" s="13" t="s">
        <v>106</v>
      </c>
      <c r="L47" s="13" t="s">
        <v>97</v>
      </c>
      <c r="M47" s="13" t="s">
        <v>107</v>
      </c>
    </row>
    <row r="48" customFormat="false" ht="15.75" hidden="false" customHeight="true" outlineLevel="0" collapsed="false">
      <c r="A48" s="16" t="n">
        <v>2023</v>
      </c>
      <c r="B48" s="16" t="s">
        <v>156</v>
      </c>
      <c r="C48" s="16" t="s">
        <v>108</v>
      </c>
      <c r="D48" s="16" t="s">
        <v>109</v>
      </c>
      <c r="E48" s="16" t="s">
        <v>101</v>
      </c>
      <c r="F48" s="16" t="s">
        <v>110</v>
      </c>
      <c r="G48" s="16" t="s">
        <v>103</v>
      </c>
      <c r="H48" s="16" t="s">
        <v>104</v>
      </c>
      <c r="I48" s="17" t="n">
        <v>1842.453</v>
      </c>
      <c r="J48" s="16" t="s">
        <v>105</v>
      </c>
      <c r="K48" s="16" t="s">
        <v>106</v>
      </c>
      <c r="L48" s="16" t="s">
        <v>97</v>
      </c>
      <c r="M48" s="16" t="s">
        <v>107</v>
      </c>
    </row>
    <row r="49" customFormat="false" ht="15.75" hidden="false" customHeight="true" outlineLevel="0" collapsed="false">
      <c r="A49" s="13" t="n">
        <v>2023</v>
      </c>
      <c r="B49" s="13" t="s">
        <v>156</v>
      </c>
      <c r="C49" s="13" t="s">
        <v>111</v>
      </c>
      <c r="D49" s="13" t="s">
        <v>112</v>
      </c>
      <c r="E49" s="13" t="s">
        <v>101</v>
      </c>
      <c r="F49" s="13" t="s">
        <v>113</v>
      </c>
      <c r="G49" s="13" t="s">
        <v>103</v>
      </c>
      <c r="H49" s="13" t="s">
        <v>104</v>
      </c>
      <c r="I49" s="14" t="n">
        <v>2050.703</v>
      </c>
      <c r="J49" s="13" t="s">
        <v>105</v>
      </c>
      <c r="K49" s="13" t="s">
        <v>106</v>
      </c>
      <c r="L49" s="13" t="s">
        <v>97</v>
      </c>
      <c r="M49" s="13" t="s">
        <v>107</v>
      </c>
    </row>
    <row r="50" customFormat="false" ht="15.75" hidden="false" customHeight="true" outlineLevel="0" collapsed="false">
      <c r="A50" s="16" t="n">
        <v>2023</v>
      </c>
      <c r="B50" s="16" t="s">
        <v>156</v>
      </c>
      <c r="C50" s="16" t="s">
        <v>114</v>
      </c>
      <c r="D50" s="16" t="s">
        <v>115</v>
      </c>
      <c r="E50" s="16" t="s">
        <v>101</v>
      </c>
      <c r="F50" s="16" t="s">
        <v>116</v>
      </c>
      <c r="G50" s="16" t="s">
        <v>103</v>
      </c>
      <c r="H50" s="16" t="s">
        <v>104</v>
      </c>
      <c r="I50" s="17" t="n">
        <v>1172.249</v>
      </c>
      <c r="J50" s="16" t="s">
        <v>105</v>
      </c>
      <c r="K50" s="16" t="s">
        <v>106</v>
      </c>
      <c r="L50" s="16" t="s">
        <v>97</v>
      </c>
      <c r="M50" s="16" t="s">
        <v>107</v>
      </c>
    </row>
    <row r="51" customFormat="false" ht="15.75" hidden="false" customHeight="true" outlineLevel="0" collapsed="false">
      <c r="A51" s="13" t="n">
        <v>2023</v>
      </c>
      <c r="B51" s="13" t="s">
        <v>156</v>
      </c>
      <c r="C51" s="13" t="s">
        <v>73</v>
      </c>
      <c r="D51" s="13" t="s">
        <v>117</v>
      </c>
      <c r="E51" s="13" t="s">
        <v>101</v>
      </c>
      <c r="F51" s="13" t="s">
        <v>118</v>
      </c>
      <c r="G51" s="13" t="s">
        <v>103</v>
      </c>
      <c r="H51" s="13" t="s">
        <v>119</v>
      </c>
      <c r="I51" s="14" t="n">
        <v>320.417</v>
      </c>
      <c r="J51" s="13" t="s">
        <v>120</v>
      </c>
      <c r="K51" s="13" t="s">
        <v>121</v>
      </c>
      <c r="L51" s="13" t="s">
        <v>97</v>
      </c>
      <c r="M51" s="13" t="s">
        <v>107</v>
      </c>
    </row>
    <row r="52" customFormat="false" ht="15.75" hidden="false" customHeight="true" outlineLevel="0" collapsed="false">
      <c r="A52" s="16" t="n">
        <v>2023</v>
      </c>
      <c r="B52" s="16" t="s">
        <v>156</v>
      </c>
      <c r="C52" s="16" t="s">
        <v>73</v>
      </c>
      <c r="D52" s="16" t="s">
        <v>122</v>
      </c>
      <c r="E52" s="16" t="s">
        <v>101</v>
      </c>
      <c r="F52" s="16" t="s">
        <v>123</v>
      </c>
      <c r="G52" s="16" t="s">
        <v>103</v>
      </c>
      <c r="H52" s="16" t="s">
        <v>119</v>
      </c>
      <c r="I52" s="17" t="n">
        <v>285.357</v>
      </c>
      <c r="J52" s="16" t="s">
        <v>120</v>
      </c>
      <c r="K52" s="16" t="s">
        <v>121</v>
      </c>
      <c r="L52" s="16" t="s">
        <v>97</v>
      </c>
      <c r="M52" s="16" t="s">
        <v>107</v>
      </c>
    </row>
    <row r="53" customFormat="false" ht="15.75" hidden="false" customHeight="true" outlineLevel="0" collapsed="false">
      <c r="A53" s="13" t="n">
        <v>2023</v>
      </c>
      <c r="B53" s="13" t="s">
        <v>156</v>
      </c>
      <c r="C53" s="13" t="s">
        <v>69</v>
      </c>
      <c r="D53" s="13" t="s">
        <v>84</v>
      </c>
      <c r="E53" s="13" t="s">
        <v>101</v>
      </c>
      <c r="F53" s="13" t="s">
        <v>124</v>
      </c>
      <c r="G53" s="13" t="s">
        <v>103</v>
      </c>
      <c r="H53" s="13" t="s">
        <v>119</v>
      </c>
      <c r="I53" s="14" t="n">
        <v>295.659</v>
      </c>
      <c r="J53" s="13" t="s">
        <v>120</v>
      </c>
      <c r="K53" s="13" t="s">
        <v>121</v>
      </c>
      <c r="L53" s="13" t="s">
        <v>97</v>
      </c>
      <c r="M53" s="13" t="s">
        <v>107</v>
      </c>
    </row>
    <row r="54" customFormat="false" ht="15.75" hidden="false" customHeight="true" outlineLevel="0" collapsed="false">
      <c r="A54" s="16" t="n">
        <v>2023</v>
      </c>
      <c r="B54" s="16" t="s">
        <v>156</v>
      </c>
      <c r="C54" s="16" t="s">
        <v>38</v>
      </c>
      <c r="D54" s="16" t="s">
        <v>125</v>
      </c>
      <c r="E54" s="16" t="s">
        <v>101</v>
      </c>
      <c r="F54" s="16" t="s">
        <v>126</v>
      </c>
      <c r="G54" s="16" t="s">
        <v>103</v>
      </c>
      <c r="H54" s="16" t="s">
        <v>127</v>
      </c>
      <c r="I54" s="17" t="n">
        <v>22.561</v>
      </c>
      <c r="J54" s="16" t="s">
        <v>105</v>
      </c>
      <c r="K54" s="16" t="s">
        <v>128</v>
      </c>
      <c r="L54" s="16" t="s">
        <v>97</v>
      </c>
      <c r="M54" s="16" t="s">
        <v>107</v>
      </c>
    </row>
    <row r="55" customFormat="false" ht="15.75" hidden="false" customHeight="true" outlineLevel="0" collapsed="false">
      <c r="A55" s="13" t="n">
        <v>2023</v>
      </c>
      <c r="B55" s="13" t="s">
        <v>156</v>
      </c>
      <c r="C55" s="13" t="s">
        <v>38</v>
      </c>
      <c r="D55" s="13" t="s">
        <v>129</v>
      </c>
      <c r="E55" s="13" t="s">
        <v>101</v>
      </c>
      <c r="F55" s="13" t="s">
        <v>130</v>
      </c>
      <c r="G55" s="13" t="s">
        <v>103</v>
      </c>
      <c r="H55" s="13" t="s">
        <v>127</v>
      </c>
      <c r="I55" s="14" t="n">
        <v>21.78</v>
      </c>
      <c r="J55" s="13" t="s">
        <v>105</v>
      </c>
      <c r="K55" s="13" t="s">
        <v>128</v>
      </c>
      <c r="L55" s="13" t="s">
        <v>97</v>
      </c>
      <c r="M55" s="13" t="s">
        <v>107</v>
      </c>
    </row>
    <row r="56" customFormat="false" ht="15.75" hidden="false" customHeight="true" outlineLevel="0" collapsed="false">
      <c r="A56" s="16" t="n">
        <v>2023</v>
      </c>
      <c r="B56" s="16" t="s">
        <v>156</v>
      </c>
      <c r="C56" s="16" t="s">
        <v>114</v>
      </c>
      <c r="D56" s="16" t="s">
        <v>131</v>
      </c>
      <c r="E56" s="16" t="s">
        <v>101</v>
      </c>
      <c r="F56" s="16" t="s">
        <v>132</v>
      </c>
      <c r="G56" s="16" t="s">
        <v>103</v>
      </c>
      <c r="H56" s="16" t="s">
        <v>133</v>
      </c>
      <c r="I56" s="17" t="n">
        <v>1112.743</v>
      </c>
      <c r="J56" s="16" t="s">
        <v>120</v>
      </c>
      <c r="K56" s="16" t="s">
        <v>134</v>
      </c>
      <c r="L56" s="16" t="s">
        <v>97</v>
      </c>
      <c r="M56" s="16" t="s">
        <v>107</v>
      </c>
    </row>
    <row r="57" customFormat="false" ht="15.75" hidden="false" customHeight="true" outlineLevel="0" collapsed="false">
      <c r="A57" s="13" t="n">
        <v>2023</v>
      </c>
      <c r="B57" s="13" t="s">
        <v>156</v>
      </c>
      <c r="C57" s="13" t="s">
        <v>111</v>
      </c>
      <c r="D57" s="13" t="s">
        <v>135</v>
      </c>
      <c r="E57" s="13" t="s">
        <v>101</v>
      </c>
      <c r="F57" s="13" t="s">
        <v>136</v>
      </c>
      <c r="G57" s="13" t="s">
        <v>103</v>
      </c>
      <c r="H57" s="13" t="s">
        <v>133</v>
      </c>
      <c r="I57" s="14" t="n">
        <v>654.581</v>
      </c>
      <c r="J57" s="13" t="s">
        <v>120</v>
      </c>
      <c r="K57" s="13" t="s">
        <v>134</v>
      </c>
      <c r="L57" s="13" t="s">
        <v>97</v>
      </c>
      <c r="M57" s="13" t="s">
        <v>107</v>
      </c>
    </row>
    <row r="58" customFormat="false" ht="15.75" hidden="false" customHeight="true" outlineLevel="0" collapsed="false">
      <c r="A58" s="16" t="n">
        <v>2023</v>
      </c>
      <c r="B58" s="16" t="s">
        <v>156</v>
      </c>
      <c r="C58" s="16" t="s">
        <v>67</v>
      </c>
      <c r="D58" s="16" t="s">
        <v>137</v>
      </c>
      <c r="E58" s="16" t="s">
        <v>101</v>
      </c>
      <c r="F58" s="16" t="s">
        <v>138</v>
      </c>
      <c r="G58" s="16" t="s">
        <v>103</v>
      </c>
      <c r="H58" s="16" t="s">
        <v>139</v>
      </c>
      <c r="I58" s="17" t="n">
        <v>7.612</v>
      </c>
      <c r="J58" s="16" t="s">
        <v>105</v>
      </c>
      <c r="K58" s="16" t="s">
        <v>140</v>
      </c>
      <c r="L58" s="16" t="s">
        <v>97</v>
      </c>
      <c r="M58" s="16" t="s">
        <v>107</v>
      </c>
    </row>
    <row r="59" customFormat="false" ht="15.75" hidden="false" customHeight="true" outlineLevel="0" collapsed="false">
      <c r="A59" s="13" t="n">
        <v>2023</v>
      </c>
      <c r="B59" s="13" t="s">
        <v>156</v>
      </c>
      <c r="C59" s="13" t="s">
        <v>141</v>
      </c>
      <c r="D59" s="13" t="s">
        <v>142</v>
      </c>
      <c r="E59" s="13" t="s">
        <v>101</v>
      </c>
      <c r="F59" s="13" t="s">
        <v>143</v>
      </c>
      <c r="G59" s="13" t="s">
        <v>103</v>
      </c>
      <c r="H59" s="13" t="s">
        <v>139</v>
      </c>
      <c r="I59" s="14" t="n">
        <v>6.962</v>
      </c>
      <c r="J59" s="13" t="s">
        <v>105</v>
      </c>
      <c r="K59" s="13" t="s">
        <v>140</v>
      </c>
      <c r="L59" s="13" t="s">
        <v>97</v>
      </c>
      <c r="M59" s="13" t="s">
        <v>107</v>
      </c>
    </row>
    <row r="60" customFormat="false" ht="15.75" hidden="false" customHeight="true" outlineLevel="0" collapsed="false">
      <c r="A60" s="16" t="n">
        <v>2023</v>
      </c>
      <c r="B60" s="16" t="s">
        <v>156</v>
      </c>
      <c r="C60" s="16" t="s">
        <v>111</v>
      </c>
      <c r="D60" s="16" t="s">
        <v>144</v>
      </c>
      <c r="E60" s="16" t="s">
        <v>101</v>
      </c>
      <c r="F60" s="16" t="s">
        <v>145</v>
      </c>
      <c r="G60" s="16" t="s">
        <v>103</v>
      </c>
      <c r="H60" s="16" t="s">
        <v>146</v>
      </c>
      <c r="I60" s="17" t="n">
        <v>0.358</v>
      </c>
      <c r="J60" s="16" t="s">
        <v>105</v>
      </c>
      <c r="K60" s="16" t="s">
        <v>147</v>
      </c>
      <c r="L60" s="16" t="s">
        <v>97</v>
      </c>
      <c r="M60" s="16" t="s">
        <v>107</v>
      </c>
    </row>
    <row r="61" customFormat="false" ht="15.75" hidden="false" customHeight="true" outlineLevel="0" collapsed="false">
      <c r="A61" s="13" t="n">
        <v>2023</v>
      </c>
      <c r="B61" s="13" t="s">
        <v>156</v>
      </c>
      <c r="C61" s="13" t="s">
        <v>148</v>
      </c>
      <c r="D61" s="13" t="s">
        <v>149</v>
      </c>
      <c r="E61" s="13" t="s">
        <v>101</v>
      </c>
      <c r="F61" s="13" t="s">
        <v>150</v>
      </c>
      <c r="G61" s="13" t="s">
        <v>103</v>
      </c>
      <c r="H61" s="13" t="s">
        <v>151</v>
      </c>
      <c r="I61" s="14" t="n">
        <v>59.72</v>
      </c>
      <c r="J61" s="13" t="s">
        <v>105</v>
      </c>
      <c r="K61" s="13" t="s">
        <v>152</v>
      </c>
      <c r="L61" s="13" t="s">
        <v>97</v>
      </c>
      <c r="M61" s="13" t="s">
        <v>107</v>
      </c>
    </row>
    <row r="62" customFormat="false" ht="15.75" hidden="false" customHeight="true" outlineLevel="0" collapsed="false">
      <c r="A62" s="16" t="n">
        <v>2024</v>
      </c>
      <c r="B62" s="16" t="s">
        <v>157</v>
      </c>
      <c r="C62" s="16" t="s">
        <v>69</v>
      </c>
      <c r="D62" s="16" t="s">
        <v>84</v>
      </c>
      <c r="E62" s="16" t="s">
        <v>85</v>
      </c>
      <c r="F62" s="16" t="s">
        <v>86</v>
      </c>
      <c r="G62" s="16" t="s">
        <v>87</v>
      </c>
      <c r="H62" s="16" t="s">
        <v>88</v>
      </c>
      <c r="I62" s="17" t="n">
        <v>7.5</v>
      </c>
      <c r="J62" s="16" t="s">
        <v>89</v>
      </c>
      <c r="K62" s="16" t="s">
        <v>90</v>
      </c>
      <c r="L62" s="16" t="s">
        <v>91</v>
      </c>
      <c r="M62" s="16" t="s">
        <v>66</v>
      </c>
    </row>
    <row r="63" customFormat="false" ht="15.75" hidden="false" customHeight="true" outlineLevel="0" collapsed="false">
      <c r="A63" s="13" t="n">
        <v>2024</v>
      </c>
      <c r="B63" s="13" t="s">
        <v>157</v>
      </c>
      <c r="C63" s="13" t="s">
        <v>69</v>
      </c>
      <c r="D63" s="13" t="s">
        <v>84</v>
      </c>
      <c r="E63" s="13" t="s">
        <v>85</v>
      </c>
      <c r="F63" s="13" t="s">
        <v>86</v>
      </c>
      <c r="G63" s="13" t="s">
        <v>87</v>
      </c>
      <c r="H63" s="13" t="s">
        <v>92</v>
      </c>
      <c r="I63" s="14" t="n">
        <v>5.08</v>
      </c>
      <c r="J63" s="13" t="s">
        <v>93</v>
      </c>
      <c r="K63" s="13" t="s">
        <v>94</v>
      </c>
      <c r="L63" s="13" t="s">
        <v>91</v>
      </c>
      <c r="M63" s="13" t="s">
        <v>66</v>
      </c>
    </row>
    <row r="64" customFormat="false" ht="15.75" hidden="false" customHeight="true" outlineLevel="0" collapsed="false">
      <c r="A64" s="16" t="n">
        <v>2024</v>
      </c>
      <c r="B64" s="16" t="s">
        <v>157</v>
      </c>
      <c r="C64" s="16" t="s">
        <v>69</v>
      </c>
      <c r="D64" s="16" t="s">
        <v>84</v>
      </c>
      <c r="E64" s="16" t="s">
        <v>85</v>
      </c>
      <c r="F64" s="16" t="s">
        <v>86</v>
      </c>
      <c r="G64" s="16" t="s">
        <v>87</v>
      </c>
      <c r="H64" s="16" t="s">
        <v>95</v>
      </c>
      <c r="I64" s="17" t="n">
        <v>2.73</v>
      </c>
      <c r="J64" s="16" t="s">
        <v>93</v>
      </c>
      <c r="K64" s="16" t="s">
        <v>96</v>
      </c>
      <c r="L64" s="16" t="s">
        <v>91</v>
      </c>
      <c r="M64" s="16" t="s">
        <v>66</v>
      </c>
    </row>
    <row r="65" customFormat="false" ht="15.75" hidden="false" customHeight="true" outlineLevel="0" collapsed="false">
      <c r="A65" s="13" t="n">
        <v>2024</v>
      </c>
      <c r="B65" s="13" t="s">
        <v>157</v>
      </c>
      <c r="C65" s="13" t="s">
        <v>69</v>
      </c>
      <c r="D65" s="13" t="s">
        <v>84</v>
      </c>
      <c r="E65" s="13" t="s">
        <v>85</v>
      </c>
      <c r="F65" s="13" t="s">
        <v>86</v>
      </c>
      <c r="G65" s="13" t="s">
        <v>87</v>
      </c>
      <c r="H65" s="13" t="s">
        <v>98</v>
      </c>
      <c r="I65" s="14" t="n">
        <v>13.02</v>
      </c>
      <c r="J65" s="13" t="s">
        <v>93</v>
      </c>
      <c r="K65" s="13" t="s">
        <v>99</v>
      </c>
      <c r="L65" s="13" t="s">
        <v>91</v>
      </c>
      <c r="M65" s="13" t="s">
        <v>66</v>
      </c>
    </row>
    <row r="66" customFormat="false" ht="15.75" hidden="false" customHeight="true" outlineLevel="0" collapsed="false">
      <c r="A66" s="16" t="n">
        <v>2024</v>
      </c>
      <c r="B66" s="16" t="s">
        <v>158</v>
      </c>
      <c r="C66" s="16" t="s">
        <v>13</v>
      </c>
      <c r="D66" s="16" t="s">
        <v>29</v>
      </c>
      <c r="E66" s="16" t="s">
        <v>101</v>
      </c>
      <c r="F66" s="16" t="s">
        <v>102</v>
      </c>
      <c r="G66" s="16" t="s">
        <v>103</v>
      </c>
      <c r="H66" s="16" t="s">
        <v>104</v>
      </c>
      <c r="I66" s="17" t="n">
        <v>2382.2</v>
      </c>
      <c r="J66" s="16" t="s">
        <v>105</v>
      </c>
      <c r="K66" s="16" t="s">
        <v>106</v>
      </c>
      <c r="L66" s="16" t="s">
        <v>97</v>
      </c>
      <c r="M66" s="16" t="s">
        <v>107</v>
      </c>
    </row>
    <row r="67" customFormat="false" ht="15.75" hidden="false" customHeight="true" outlineLevel="0" collapsed="false">
      <c r="A67" s="13" t="n">
        <v>2024</v>
      </c>
      <c r="B67" s="13" t="s">
        <v>158</v>
      </c>
      <c r="C67" s="13" t="s">
        <v>108</v>
      </c>
      <c r="D67" s="13" t="s">
        <v>109</v>
      </c>
      <c r="E67" s="13" t="s">
        <v>101</v>
      </c>
      <c r="F67" s="13" t="s">
        <v>110</v>
      </c>
      <c r="G67" s="13" t="s">
        <v>103</v>
      </c>
      <c r="H67" s="13" t="s">
        <v>104</v>
      </c>
      <c r="I67" s="14" t="n">
        <v>2017.063</v>
      </c>
      <c r="J67" s="13" t="s">
        <v>105</v>
      </c>
      <c r="K67" s="13" t="s">
        <v>106</v>
      </c>
      <c r="L67" s="13" t="s">
        <v>97</v>
      </c>
      <c r="M67" s="13" t="s">
        <v>107</v>
      </c>
    </row>
    <row r="68" customFormat="false" ht="15.75" hidden="false" customHeight="true" outlineLevel="0" collapsed="false">
      <c r="A68" s="16" t="n">
        <v>2024</v>
      </c>
      <c r="B68" s="16" t="s">
        <v>158</v>
      </c>
      <c r="C68" s="16" t="s">
        <v>111</v>
      </c>
      <c r="D68" s="16" t="s">
        <v>112</v>
      </c>
      <c r="E68" s="16" t="s">
        <v>101</v>
      </c>
      <c r="F68" s="16" t="s">
        <v>113</v>
      </c>
      <c r="G68" s="16" t="s">
        <v>103</v>
      </c>
      <c r="H68" s="16" t="s">
        <v>104</v>
      </c>
      <c r="I68" s="17" t="n">
        <v>1789.932</v>
      </c>
      <c r="J68" s="16" t="s">
        <v>105</v>
      </c>
      <c r="K68" s="16" t="s">
        <v>106</v>
      </c>
      <c r="L68" s="16" t="s">
        <v>97</v>
      </c>
      <c r="M68" s="16" t="s">
        <v>107</v>
      </c>
    </row>
    <row r="69" customFormat="false" ht="15.75" hidden="false" customHeight="true" outlineLevel="0" collapsed="false">
      <c r="A69" s="13" t="n">
        <v>2024</v>
      </c>
      <c r="B69" s="13" t="s">
        <v>158</v>
      </c>
      <c r="C69" s="13" t="s">
        <v>114</v>
      </c>
      <c r="D69" s="13" t="s">
        <v>115</v>
      </c>
      <c r="E69" s="13" t="s">
        <v>101</v>
      </c>
      <c r="F69" s="13" t="s">
        <v>116</v>
      </c>
      <c r="G69" s="13" t="s">
        <v>103</v>
      </c>
      <c r="H69" s="13" t="s">
        <v>104</v>
      </c>
      <c r="I69" s="14" t="n">
        <v>1101.427</v>
      </c>
      <c r="J69" s="13" t="s">
        <v>105</v>
      </c>
      <c r="K69" s="13" t="s">
        <v>106</v>
      </c>
      <c r="L69" s="13" t="s">
        <v>97</v>
      </c>
      <c r="M69" s="13" t="s">
        <v>107</v>
      </c>
    </row>
    <row r="70" customFormat="false" ht="15.75" hidden="false" customHeight="true" outlineLevel="0" collapsed="false">
      <c r="A70" s="16" t="n">
        <v>2024</v>
      </c>
      <c r="B70" s="16" t="s">
        <v>158</v>
      </c>
      <c r="C70" s="16" t="s">
        <v>73</v>
      </c>
      <c r="D70" s="16" t="s">
        <v>117</v>
      </c>
      <c r="E70" s="16" t="s">
        <v>101</v>
      </c>
      <c r="F70" s="16" t="s">
        <v>118</v>
      </c>
      <c r="G70" s="16" t="s">
        <v>103</v>
      </c>
      <c r="H70" s="16" t="s">
        <v>119</v>
      </c>
      <c r="I70" s="17" t="n">
        <v>344.17</v>
      </c>
      <c r="J70" s="16" t="s">
        <v>120</v>
      </c>
      <c r="K70" s="16" t="s">
        <v>121</v>
      </c>
      <c r="L70" s="16" t="s">
        <v>97</v>
      </c>
      <c r="M70" s="16" t="s">
        <v>107</v>
      </c>
    </row>
    <row r="71" customFormat="false" ht="15.75" hidden="false" customHeight="true" outlineLevel="0" collapsed="false">
      <c r="A71" s="13" t="n">
        <v>2024</v>
      </c>
      <c r="B71" s="13" t="s">
        <v>158</v>
      </c>
      <c r="C71" s="13" t="s">
        <v>73</v>
      </c>
      <c r="D71" s="13" t="s">
        <v>122</v>
      </c>
      <c r="E71" s="13" t="s">
        <v>101</v>
      </c>
      <c r="F71" s="13" t="s">
        <v>123</v>
      </c>
      <c r="G71" s="13" t="s">
        <v>103</v>
      </c>
      <c r="H71" s="13" t="s">
        <v>119</v>
      </c>
      <c r="I71" s="14" t="n">
        <v>292.459</v>
      </c>
      <c r="J71" s="13" t="s">
        <v>120</v>
      </c>
      <c r="K71" s="13" t="s">
        <v>121</v>
      </c>
      <c r="L71" s="13" t="s">
        <v>97</v>
      </c>
      <c r="M71" s="13" t="s">
        <v>107</v>
      </c>
    </row>
    <row r="72" customFormat="false" ht="15.75" hidden="false" customHeight="true" outlineLevel="0" collapsed="false">
      <c r="A72" s="16" t="n">
        <v>2024</v>
      </c>
      <c r="B72" s="16" t="s">
        <v>158</v>
      </c>
      <c r="C72" s="16" t="s">
        <v>69</v>
      </c>
      <c r="D72" s="16" t="s">
        <v>84</v>
      </c>
      <c r="E72" s="16" t="s">
        <v>101</v>
      </c>
      <c r="F72" s="16" t="s">
        <v>124</v>
      </c>
      <c r="G72" s="16" t="s">
        <v>103</v>
      </c>
      <c r="H72" s="16" t="s">
        <v>119</v>
      </c>
      <c r="I72" s="17" t="n">
        <v>314.235</v>
      </c>
      <c r="J72" s="16" t="s">
        <v>120</v>
      </c>
      <c r="K72" s="16" t="s">
        <v>121</v>
      </c>
      <c r="L72" s="16" t="s">
        <v>97</v>
      </c>
      <c r="M72" s="16" t="s">
        <v>107</v>
      </c>
    </row>
    <row r="73" customFormat="false" ht="15.75" hidden="false" customHeight="true" outlineLevel="0" collapsed="false">
      <c r="A73" s="13" t="n">
        <v>2024</v>
      </c>
      <c r="B73" s="13" t="s">
        <v>158</v>
      </c>
      <c r="C73" s="13" t="s">
        <v>38</v>
      </c>
      <c r="D73" s="13" t="s">
        <v>125</v>
      </c>
      <c r="E73" s="13" t="s">
        <v>101</v>
      </c>
      <c r="F73" s="13" t="s">
        <v>126</v>
      </c>
      <c r="G73" s="13" t="s">
        <v>103</v>
      </c>
      <c r="H73" s="13" t="s">
        <v>127</v>
      </c>
      <c r="I73" s="14" t="n">
        <v>23.739</v>
      </c>
      <c r="J73" s="13" t="s">
        <v>105</v>
      </c>
      <c r="K73" s="13" t="s">
        <v>128</v>
      </c>
      <c r="L73" s="13" t="s">
        <v>97</v>
      </c>
      <c r="M73" s="13" t="s">
        <v>107</v>
      </c>
    </row>
    <row r="74" customFormat="false" ht="15.75" hidden="false" customHeight="true" outlineLevel="0" collapsed="false">
      <c r="A74" s="16" t="n">
        <v>2024</v>
      </c>
      <c r="B74" s="16" t="s">
        <v>158</v>
      </c>
      <c r="C74" s="16" t="s">
        <v>38</v>
      </c>
      <c r="D74" s="16" t="s">
        <v>129</v>
      </c>
      <c r="E74" s="16" t="s">
        <v>101</v>
      </c>
      <c r="F74" s="16" t="s">
        <v>130</v>
      </c>
      <c r="G74" s="16" t="s">
        <v>103</v>
      </c>
      <c r="H74" s="16" t="s">
        <v>127</v>
      </c>
      <c r="I74" s="17" t="n">
        <v>21.646</v>
      </c>
      <c r="J74" s="16" t="s">
        <v>105</v>
      </c>
      <c r="K74" s="16" t="s">
        <v>128</v>
      </c>
      <c r="L74" s="16" t="s">
        <v>97</v>
      </c>
      <c r="M74" s="16" t="s">
        <v>107</v>
      </c>
    </row>
    <row r="75" customFormat="false" ht="15.75" hidden="false" customHeight="true" outlineLevel="0" collapsed="false">
      <c r="A75" s="13" t="n">
        <v>2024</v>
      </c>
      <c r="B75" s="13" t="s">
        <v>158</v>
      </c>
      <c r="C75" s="13" t="s">
        <v>114</v>
      </c>
      <c r="D75" s="13" t="s">
        <v>131</v>
      </c>
      <c r="E75" s="13" t="s">
        <v>101</v>
      </c>
      <c r="F75" s="13" t="s">
        <v>132</v>
      </c>
      <c r="G75" s="13" t="s">
        <v>103</v>
      </c>
      <c r="H75" s="13" t="s">
        <v>133</v>
      </c>
      <c r="I75" s="14" t="n">
        <v>1000.842</v>
      </c>
      <c r="J75" s="13" t="s">
        <v>120</v>
      </c>
      <c r="K75" s="13" t="s">
        <v>134</v>
      </c>
      <c r="L75" s="13" t="s">
        <v>97</v>
      </c>
      <c r="M75" s="13" t="s">
        <v>107</v>
      </c>
    </row>
    <row r="76" customFormat="false" ht="15.75" hidden="false" customHeight="true" outlineLevel="0" collapsed="false">
      <c r="A76" s="16" t="n">
        <v>2024</v>
      </c>
      <c r="B76" s="16" t="s">
        <v>158</v>
      </c>
      <c r="C76" s="16" t="s">
        <v>111</v>
      </c>
      <c r="D76" s="16" t="s">
        <v>135</v>
      </c>
      <c r="E76" s="16" t="s">
        <v>101</v>
      </c>
      <c r="F76" s="16" t="s">
        <v>136</v>
      </c>
      <c r="G76" s="16" t="s">
        <v>103</v>
      </c>
      <c r="H76" s="16" t="s">
        <v>133</v>
      </c>
      <c r="I76" s="17" t="n">
        <v>689.128</v>
      </c>
      <c r="J76" s="16" t="s">
        <v>120</v>
      </c>
      <c r="K76" s="16" t="s">
        <v>134</v>
      </c>
      <c r="L76" s="16" t="s">
        <v>97</v>
      </c>
      <c r="M76" s="16" t="s">
        <v>107</v>
      </c>
    </row>
    <row r="77" customFormat="false" ht="15.75" hidden="false" customHeight="true" outlineLevel="0" collapsed="false">
      <c r="A77" s="13" t="n">
        <v>2024</v>
      </c>
      <c r="B77" s="13" t="s">
        <v>158</v>
      </c>
      <c r="C77" s="13" t="s">
        <v>67</v>
      </c>
      <c r="D77" s="13" t="s">
        <v>137</v>
      </c>
      <c r="E77" s="13" t="s">
        <v>101</v>
      </c>
      <c r="F77" s="13" t="s">
        <v>138</v>
      </c>
      <c r="G77" s="13" t="s">
        <v>103</v>
      </c>
      <c r="H77" s="13" t="s">
        <v>139</v>
      </c>
      <c r="I77" s="14" t="n">
        <v>6.737</v>
      </c>
      <c r="J77" s="13" t="s">
        <v>105</v>
      </c>
      <c r="K77" s="13" t="s">
        <v>140</v>
      </c>
      <c r="L77" s="13" t="s">
        <v>97</v>
      </c>
      <c r="M77" s="13" t="s">
        <v>107</v>
      </c>
    </row>
    <row r="78" customFormat="false" ht="15.75" hidden="false" customHeight="true" outlineLevel="0" collapsed="false">
      <c r="A78" s="16" t="n">
        <v>2024</v>
      </c>
      <c r="B78" s="16" t="s">
        <v>158</v>
      </c>
      <c r="C78" s="16" t="s">
        <v>141</v>
      </c>
      <c r="D78" s="16" t="s">
        <v>142</v>
      </c>
      <c r="E78" s="16" t="s">
        <v>101</v>
      </c>
      <c r="F78" s="16" t="s">
        <v>143</v>
      </c>
      <c r="G78" s="16" t="s">
        <v>103</v>
      </c>
      <c r="H78" s="16" t="s">
        <v>139</v>
      </c>
      <c r="I78" s="17" t="n">
        <v>7.148</v>
      </c>
      <c r="J78" s="16" t="s">
        <v>105</v>
      </c>
      <c r="K78" s="16" t="s">
        <v>140</v>
      </c>
      <c r="L78" s="16" t="s">
        <v>97</v>
      </c>
      <c r="M78" s="16" t="s">
        <v>107</v>
      </c>
    </row>
    <row r="79" customFormat="false" ht="15.75" hidden="false" customHeight="true" outlineLevel="0" collapsed="false">
      <c r="A79" s="13" t="n">
        <v>2024</v>
      </c>
      <c r="B79" s="13" t="s">
        <v>158</v>
      </c>
      <c r="C79" s="13" t="s">
        <v>111</v>
      </c>
      <c r="D79" s="13" t="s">
        <v>144</v>
      </c>
      <c r="E79" s="13" t="s">
        <v>101</v>
      </c>
      <c r="F79" s="13" t="s">
        <v>145</v>
      </c>
      <c r="G79" s="13" t="s">
        <v>103</v>
      </c>
      <c r="H79" s="13" t="s">
        <v>146</v>
      </c>
      <c r="I79" s="14" t="n">
        <v>0.371</v>
      </c>
      <c r="J79" s="13" t="s">
        <v>105</v>
      </c>
      <c r="K79" s="13" t="s">
        <v>147</v>
      </c>
      <c r="L79" s="13" t="s">
        <v>97</v>
      </c>
      <c r="M79" s="13" t="s">
        <v>107</v>
      </c>
    </row>
    <row r="80" customFormat="false" ht="15.75" hidden="false" customHeight="true" outlineLevel="0" collapsed="false">
      <c r="A80" s="16" t="n">
        <v>2024</v>
      </c>
      <c r="B80" s="16" t="s">
        <v>158</v>
      </c>
      <c r="C80" s="16" t="s">
        <v>148</v>
      </c>
      <c r="D80" s="16" t="s">
        <v>149</v>
      </c>
      <c r="E80" s="16" t="s">
        <v>101</v>
      </c>
      <c r="F80" s="16" t="s">
        <v>150</v>
      </c>
      <c r="G80" s="16" t="s">
        <v>103</v>
      </c>
      <c r="H80" s="16" t="s">
        <v>151</v>
      </c>
      <c r="I80" s="17" t="n">
        <v>56.26</v>
      </c>
      <c r="J80" s="16" t="s">
        <v>105</v>
      </c>
      <c r="K80" s="16" t="s">
        <v>152</v>
      </c>
      <c r="L80" s="16" t="s">
        <v>97</v>
      </c>
      <c r="M80" s="16" t="s">
        <v>107</v>
      </c>
    </row>
    <row r="81" customFormat="false" ht="15.75" hidden="false" customHeight="true" outlineLevel="0" collapsed="false">
      <c r="A81" s="13" t="n">
        <v>2025</v>
      </c>
      <c r="B81" s="13" t="s">
        <v>159</v>
      </c>
      <c r="C81" s="13" t="s">
        <v>69</v>
      </c>
      <c r="D81" s="13" t="s">
        <v>84</v>
      </c>
      <c r="E81" s="13" t="s">
        <v>85</v>
      </c>
      <c r="F81" s="13" t="s">
        <v>86</v>
      </c>
      <c r="G81" s="13" t="s">
        <v>87</v>
      </c>
      <c r="H81" s="13" t="s">
        <v>88</v>
      </c>
      <c r="I81" s="14" t="n">
        <v>7.26</v>
      </c>
      <c r="J81" s="13" t="s">
        <v>89</v>
      </c>
      <c r="K81" s="13" t="s">
        <v>90</v>
      </c>
      <c r="L81" s="13" t="s">
        <v>91</v>
      </c>
      <c r="M81" s="13" t="s">
        <v>66</v>
      </c>
    </row>
    <row r="82" customFormat="false" ht="15.75" hidden="false" customHeight="true" outlineLevel="0" collapsed="false">
      <c r="A82" s="16" t="n">
        <v>2025</v>
      </c>
      <c r="B82" s="16" t="s">
        <v>159</v>
      </c>
      <c r="C82" s="16" t="s">
        <v>69</v>
      </c>
      <c r="D82" s="16" t="s">
        <v>84</v>
      </c>
      <c r="E82" s="16" t="s">
        <v>85</v>
      </c>
      <c r="F82" s="16" t="s">
        <v>86</v>
      </c>
      <c r="G82" s="16" t="s">
        <v>87</v>
      </c>
      <c r="H82" s="16" t="s">
        <v>92</v>
      </c>
      <c r="I82" s="17" t="n">
        <v>5.27</v>
      </c>
      <c r="J82" s="16" t="s">
        <v>93</v>
      </c>
      <c r="K82" s="16" t="s">
        <v>94</v>
      </c>
      <c r="L82" s="16" t="s">
        <v>91</v>
      </c>
      <c r="M82" s="16" t="s">
        <v>66</v>
      </c>
    </row>
    <row r="83" customFormat="false" ht="15.75" hidden="false" customHeight="true" outlineLevel="0" collapsed="false">
      <c r="A83" s="13" t="n">
        <v>2025</v>
      </c>
      <c r="B83" s="13" t="s">
        <v>159</v>
      </c>
      <c r="C83" s="13" t="s">
        <v>69</v>
      </c>
      <c r="D83" s="13" t="s">
        <v>84</v>
      </c>
      <c r="E83" s="13" t="s">
        <v>85</v>
      </c>
      <c r="F83" s="13" t="s">
        <v>86</v>
      </c>
      <c r="G83" s="13" t="s">
        <v>87</v>
      </c>
      <c r="H83" s="13" t="s">
        <v>95</v>
      </c>
      <c r="I83" s="14" t="n">
        <v>2.63</v>
      </c>
      <c r="J83" s="13" t="s">
        <v>93</v>
      </c>
      <c r="K83" s="13" t="s">
        <v>96</v>
      </c>
      <c r="L83" s="13" t="s">
        <v>91</v>
      </c>
      <c r="M83" s="13" t="s">
        <v>66</v>
      </c>
    </row>
    <row r="84" customFormat="false" ht="15.75" hidden="false" customHeight="true" outlineLevel="0" collapsed="false">
      <c r="A84" s="16" t="n">
        <v>2025</v>
      </c>
      <c r="B84" s="16" t="s">
        <v>159</v>
      </c>
      <c r="C84" s="16" t="s">
        <v>69</v>
      </c>
      <c r="D84" s="16" t="s">
        <v>84</v>
      </c>
      <c r="E84" s="16" t="s">
        <v>85</v>
      </c>
      <c r="F84" s="16" t="s">
        <v>86</v>
      </c>
      <c r="G84" s="16" t="s">
        <v>87</v>
      </c>
      <c r="H84" s="16" t="s">
        <v>98</v>
      </c>
      <c r="I84" s="17" t="n">
        <v>12.53</v>
      </c>
      <c r="J84" s="16" t="s">
        <v>93</v>
      </c>
      <c r="K84" s="16" t="s">
        <v>99</v>
      </c>
      <c r="L84" s="16" t="s">
        <v>91</v>
      </c>
      <c r="M84" s="16" t="s">
        <v>66</v>
      </c>
    </row>
    <row r="85" customFormat="false" ht="15.75" hidden="false" customHeight="true" outlineLevel="0" collapsed="false">
      <c r="A85" s="13" t="n">
        <v>2025</v>
      </c>
      <c r="B85" s="13" t="s">
        <v>160</v>
      </c>
      <c r="C85" s="13" t="s">
        <v>13</v>
      </c>
      <c r="D85" s="13" t="s">
        <v>29</v>
      </c>
      <c r="E85" s="13" t="s">
        <v>101</v>
      </c>
      <c r="F85" s="13" t="s">
        <v>102</v>
      </c>
      <c r="G85" s="13" t="s">
        <v>103</v>
      </c>
      <c r="H85" s="13" t="s">
        <v>104</v>
      </c>
      <c r="I85" s="14" t="n">
        <v>2456.623</v>
      </c>
      <c r="J85" s="13" t="s">
        <v>105</v>
      </c>
      <c r="K85" s="13" t="s">
        <v>106</v>
      </c>
      <c r="L85" s="13" t="s">
        <v>97</v>
      </c>
      <c r="M85" s="13" t="s">
        <v>107</v>
      </c>
    </row>
    <row r="86" customFormat="false" ht="15.75" hidden="false" customHeight="true" outlineLevel="0" collapsed="false">
      <c r="A86" s="16" t="n">
        <v>2025</v>
      </c>
      <c r="B86" s="16" t="s">
        <v>160</v>
      </c>
      <c r="C86" s="16" t="s">
        <v>108</v>
      </c>
      <c r="D86" s="16" t="s">
        <v>109</v>
      </c>
      <c r="E86" s="16" t="s">
        <v>101</v>
      </c>
      <c r="F86" s="16" t="s">
        <v>110</v>
      </c>
      <c r="G86" s="16" t="s">
        <v>103</v>
      </c>
      <c r="H86" s="16" t="s">
        <v>104</v>
      </c>
      <c r="I86" s="17" t="n">
        <v>2132.043</v>
      </c>
      <c r="J86" s="16" t="s">
        <v>105</v>
      </c>
      <c r="K86" s="16" t="s">
        <v>106</v>
      </c>
      <c r="L86" s="16" t="s">
        <v>97</v>
      </c>
      <c r="M86" s="16" t="s">
        <v>107</v>
      </c>
    </row>
    <row r="87" customFormat="false" ht="15.75" hidden="false" customHeight="true" outlineLevel="0" collapsed="false">
      <c r="A87" s="13" t="n">
        <v>2025</v>
      </c>
      <c r="B87" s="13" t="s">
        <v>160</v>
      </c>
      <c r="C87" s="13" t="s">
        <v>111</v>
      </c>
      <c r="D87" s="13" t="s">
        <v>112</v>
      </c>
      <c r="E87" s="13" t="s">
        <v>101</v>
      </c>
      <c r="F87" s="13" t="s">
        <v>113</v>
      </c>
      <c r="G87" s="13" t="s">
        <v>103</v>
      </c>
      <c r="H87" s="13" t="s">
        <v>104</v>
      </c>
      <c r="I87" s="14" t="n">
        <v>2022.872</v>
      </c>
      <c r="J87" s="13" t="s">
        <v>105</v>
      </c>
      <c r="K87" s="13" t="s">
        <v>106</v>
      </c>
      <c r="L87" s="13" t="s">
        <v>97</v>
      </c>
      <c r="M87" s="13" t="s">
        <v>107</v>
      </c>
    </row>
    <row r="88" customFormat="false" ht="15.75" hidden="false" customHeight="true" outlineLevel="0" collapsed="false">
      <c r="A88" s="16" t="n">
        <v>2025</v>
      </c>
      <c r="B88" s="16" t="s">
        <v>160</v>
      </c>
      <c r="C88" s="16" t="s">
        <v>114</v>
      </c>
      <c r="D88" s="16" t="s">
        <v>115</v>
      </c>
      <c r="E88" s="16" t="s">
        <v>101</v>
      </c>
      <c r="F88" s="16" t="s">
        <v>116</v>
      </c>
      <c r="G88" s="16" t="s">
        <v>103</v>
      </c>
      <c r="H88" s="16" t="s">
        <v>104</v>
      </c>
      <c r="I88" s="17" t="n">
        <v>1309.864</v>
      </c>
      <c r="J88" s="16" t="s">
        <v>105</v>
      </c>
      <c r="K88" s="16" t="s">
        <v>106</v>
      </c>
      <c r="L88" s="16" t="s">
        <v>97</v>
      </c>
      <c r="M88" s="16" t="s">
        <v>107</v>
      </c>
    </row>
    <row r="89" customFormat="false" ht="15.75" hidden="false" customHeight="true" outlineLevel="0" collapsed="false">
      <c r="A89" s="13" t="n">
        <v>2025</v>
      </c>
      <c r="B89" s="13" t="s">
        <v>160</v>
      </c>
      <c r="C89" s="13" t="s">
        <v>73</v>
      </c>
      <c r="D89" s="13" t="s">
        <v>117</v>
      </c>
      <c r="E89" s="13" t="s">
        <v>101</v>
      </c>
      <c r="F89" s="13" t="s">
        <v>118</v>
      </c>
      <c r="G89" s="13" t="s">
        <v>103</v>
      </c>
      <c r="H89" s="13" t="s">
        <v>119</v>
      </c>
      <c r="I89" s="14" t="n">
        <v>365.357</v>
      </c>
      <c r="J89" s="13" t="s">
        <v>120</v>
      </c>
      <c r="K89" s="13" t="s">
        <v>121</v>
      </c>
      <c r="L89" s="13" t="s">
        <v>97</v>
      </c>
      <c r="M89" s="13" t="s">
        <v>107</v>
      </c>
    </row>
    <row r="90" customFormat="false" ht="15.75" hidden="false" customHeight="true" outlineLevel="0" collapsed="false">
      <c r="A90" s="16" t="n">
        <v>2025</v>
      </c>
      <c r="B90" s="16" t="s">
        <v>160</v>
      </c>
      <c r="C90" s="16" t="s">
        <v>73</v>
      </c>
      <c r="D90" s="16" t="s">
        <v>122</v>
      </c>
      <c r="E90" s="16" t="s">
        <v>101</v>
      </c>
      <c r="F90" s="16" t="s">
        <v>123</v>
      </c>
      <c r="G90" s="16" t="s">
        <v>103</v>
      </c>
      <c r="H90" s="16" t="s">
        <v>119</v>
      </c>
      <c r="I90" s="17" t="n">
        <v>281.329</v>
      </c>
      <c r="J90" s="16" t="s">
        <v>120</v>
      </c>
      <c r="K90" s="16" t="s">
        <v>121</v>
      </c>
      <c r="L90" s="16" t="s">
        <v>97</v>
      </c>
      <c r="M90" s="16" t="s">
        <v>107</v>
      </c>
    </row>
    <row r="91" customFormat="false" ht="15.75" hidden="false" customHeight="true" outlineLevel="0" collapsed="false">
      <c r="A91" s="13" t="n">
        <v>2025</v>
      </c>
      <c r="B91" s="13" t="s">
        <v>160</v>
      </c>
      <c r="C91" s="13" t="s">
        <v>69</v>
      </c>
      <c r="D91" s="13" t="s">
        <v>84</v>
      </c>
      <c r="E91" s="13" t="s">
        <v>101</v>
      </c>
      <c r="F91" s="13" t="s">
        <v>124</v>
      </c>
      <c r="G91" s="13" t="s">
        <v>103</v>
      </c>
      <c r="H91" s="13" t="s">
        <v>119</v>
      </c>
      <c r="I91" s="14" t="n">
        <v>264.699</v>
      </c>
      <c r="J91" s="13" t="s">
        <v>120</v>
      </c>
      <c r="K91" s="13" t="s">
        <v>121</v>
      </c>
      <c r="L91" s="13" t="s">
        <v>97</v>
      </c>
      <c r="M91" s="13" t="s">
        <v>107</v>
      </c>
    </row>
    <row r="92" customFormat="false" ht="15.75" hidden="false" customHeight="true" outlineLevel="0" collapsed="false">
      <c r="A92" s="16" t="n">
        <v>2025</v>
      </c>
      <c r="B92" s="16" t="s">
        <v>160</v>
      </c>
      <c r="C92" s="16" t="s">
        <v>38</v>
      </c>
      <c r="D92" s="16" t="s">
        <v>125</v>
      </c>
      <c r="E92" s="16" t="s">
        <v>101</v>
      </c>
      <c r="F92" s="16" t="s">
        <v>126</v>
      </c>
      <c r="G92" s="16" t="s">
        <v>103</v>
      </c>
      <c r="H92" s="16" t="s">
        <v>127</v>
      </c>
      <c r="I92" s="17" t="n">
        <v>23.014</v>
      </c>
      <c r="J92" s="16" t="s">
        <v>105</v>
      </c>
      <c r="K92" s="16" t="s">
        <v>128</v>
      </c>
      <c r="L92" s="16" t="s">
        <v>97</v>
      </c>
      <c r="M92" s="16" t="s">
        <v>107</v>
      </c>
    </row>
    <row r="93" customFormat="false" ht="15.75" hidden="false" customHeight="true" outlineLevel="0" collapsed="false">
      <c r="A93" s="13" t="n">
        <v>2025</v>
      </c>
      <c r="B93" s="13" t="s">
        <v>160</v>
      </c>
      <c r="C93" s="13" t="s">
        <v>38</v>
      </c>
      <c r="D93" s="13" t="s">
        <v>129</v>
      </c>
      <c r="E93" s="13" t="s">
        <v>101</v>
      </c>
      <c r="F93" s="13" t="s">
        <v>130</v>
      </c>
      <c r="G93" s="13" t="s">
        <v>103</v>
      </c>
      <c r="H93" s="13" t="s">
        <v>127</v>
      </c>
      <c r="I93" s="14" t="n">
        <v>23.867</v>
      </c>
      <c r="J93" s="13" t="s">
        <v>105</v>
      </c>
      <c r="K93" s="13" t="s">
        <v>128</v>
      </c>
      <c r="L93" s="13" t="s">
        <v>97</v>
      </c>
      <c r="M93" s="13" t="s">
        <v>107</v>
      </c>
    </row>
    <row r="94" customFormat="false" ht="15.75" hidden="false" customHeight="true" outlineLevel="0" collapsed="false">
      <c r="A94" s="16" t="n">
        <v>2025</v>
      </c>
      <c r="B94" s="16" t="s">
        <v>160</v>
      </c>
      <c r="C94" s="16" t="s">
        <v>114</v>
      </c>
      <c r="D94" s="16" t="s">
        <v>131</v>
      </c>
      <c r="E94" s="16" t="s">
        <v>101</v>
      </c>
      <c r="F94" s="16" t="s">
        <v>132</v>
      </c>
      <c r="G94" s="16" t="s">
        <v>103</v>
      </c>
      <c r="H94" s="16" t="s">
        <v>133</v>
      </c>
      <c r="I94" s="17" t="n">
        <v>1083.925</v>
      </c>
      <c r="J94" s="16" t="s">
        <v>120</v>
      </c>
      <c r="K94" s="16" t="s">
        <v>134</v>
      </c>
      <c r="L94" s="16" t="s">
        <v>97</v>
      </c>
      <c r="M94" s="16" t="s">
        <v>107</v>
      </c>
    </row>
    <row r="95" customFormat="false" ht="15.75" hidden="false" customHeight="true" outlineLevel="0" collapsed="false">
      <c r="A95" s="13" t="n">
        <v>2025</v>
      </c>
      <c r="B95" s="13" t="s">
        <v>160</v>
      </c>
      <c r="C95" s="13" t="s">
        <v>111</v>
      </c>
      <c r="D95" s="13" t="s">
        <v>135</v>
      </c>
      <c r="E95" s="13" t="s">
        <v>101</v>
      </c>
      <c r="F95" s="13" t="s">
        <v>136</v>
      </c>
      <c r="G95" s="13" t="s">
        <v>103</v>
      </c>
      <c r="H95" s="13" t="s">
        <v>133</v>
      </c>
      <c r="I95" s="14" t="n">
        <v>644.7</v>
      </c>
      <c r="J95" s="13" t="s">
        <v>120</v>
      </c>
      <c r="K95" s="13" t="s">
        <v>134</v>
      </c>
      <c r="L95" s="13" t="s">
        <v>97</v>
      </c>
      <c r="M95" s="13" t="s">
        <v>107</v>
      </c>
    </row>
    <row r="96" customFormat="false" ht="15.75" hidden="false" customHeight="true" outlineLevel="0" collapsed="false">
      <c r="A96" s="16" t="n">
        <v>2025</v>
      </c>
      <c r="B96" s="16" t="s">
        <v>160</v>
      </c>
      <c r="C96" s="16" t="s">
        <v>67</v>
      </c>
      <c r="D96" s="16" t="s">
        <v>137</v>
      </c>
      <c r="E96" s="16" t="s">
        <v>101</v>
      </c>
      <c r="F96" s="16" t="s">
        <v>138</v>
      </c>
      <c r="G96" s="16" t="s">
        <v>103</v>
      </c>
      <c r="H96" s="16" t="s">
        <v>139</v>
      </c>
      <c r="I96" s="17" t="n">
        <v>6.74</v>
      </c>
      <c r="J96" s="16" t="s">
        <v>105</v>
      </c>
      <c r="K96" s="16" t="s">
        <v>140</v>
      </c>
      <c r="L96" s="16" t="s">
        <v>97</v>
      </c>
      <c r="M96" s="16" t="s">
        <v>107</v>
      </c>
    </row>
    <row r="97" customFormat="false" ht="15.75" hidden="false" customHeight="true" outlineLevel="0" collapsed="false">
      <c r="A97" s="13" t="n">
        <v>2025</v>
      </c>
      <c r="B97" s="13" t="s">
        <v>160</v>
      </c>
      <c r="C97" s="13" t="s">
        <v>141</v>
      </c>
      <c r="D97" s="13" t="s">
        <v>142</v>
      </c>
      <c r="E97" s="13" t="s">
        <v>101</v>
      </c>
      <c r="F97" s="13" t="s">
        <v>143</v>
      </c>
      <c r="G97" s="13" t="s">
        <v>103</v>
      </c>
      <c r="H97" s="13" t="s">
        <v>139</v>
      </c>
      <c r="I97" s="14" t="n">
        <v>6.335</v>
      </c>
      <c r="J97" s="13" t="s">
        <v>105</v>
      </c>
      <c r="K97" s="13" t="s">
        <v>140</v>
      </c>
      <c r="L97" s="13" t="s">
        <v>97</v>
      </c>
      <c r="M97" s="13" t="s">
        <v>107</v>
      </c>
    </row>
    <row r="98" customFormat="false" ht="15.75" hidden="false" customHeight="true" outlineLevel="0" collapsed="false">
      <c r="A98" s="16" t="n">
        <v>2025</v>
      </c>
      <c r="B98" s="16" t="s">
        <v>160</v>
      </c>
      <c r="C98" s="16" t="s">
        <v>111</v>
      </c>
      <c r="D98" s="16" t="s">
        <v>144</v>
      </c>
      <c r="E98" s="16" t="s">
        <v>101</v>
      </c>
      <c r="F98" s="16" t="s">
        <v>145</v>
      </c>
      <c r="G98" s="16" t="s">
        <v>103</v>
      </c>
      <c r="H98" s="16" t="s">
        <v>146</v>
      </c>
      <c r="I98" s="17" t="n">
        <v>0.35</v>
      </c>
      <c r="J98" s="16" t="s">
        <v>105</v>
      </c>
      <c r="K98" s="16" t="s">
        <v>147</v>
      </c>
      <c r="L98" s="16" t="s">
        <v>97</v>
      </c>
      <c r="M98" s="16" t="s">
        <v>107</v>
      </c>
    </row>
    <row r="99" customFormat="false" ht="15.75" hidden="false" customHeight="true" outlineLevel="0" collapsed="false">
      <c r="A99" s="13" t="n">
        <v>2025</v>
      </c>
      <c r="B99" s="13" t="s">
        <v>160</v>
      </c>
      <c r="C99" s="13" t="s">
        <v>148</v>
      </c>
      <c r="D99" s="13" t="s">
        <v>149</v>
      </c>
      <c r="E99" s="13" t="s">
        <v>101</v>
      </c>
      <c r="F99" s="13" t="s">
        <v>150</v>
      </c>
      <c r="G99" s="13" t="s">
        <v>103</v>
      </c>
      <c r="H99" s="13" t="s">
        <v>151</v>
      </c>
      <c r="I99" s="14" t="n">
        <v>56.664</v>
      </c>
      <c r="J99" s="13" t="s">
        <v>105</v>
      </c>
      <c r="K99" s="13" t="s">
        <v>152</v>
      </c>
      <c r="L99" s="13" t="s">
        <v>97</v>
      </c>
      <c r="M99" s="13" t="s">
        <v>107</v>
      </c>
    </row>
    <row r="100" customFormat="false" ht="15.75" hidden="false" customHeight="true" outlineLevel="0" collapsed="false">
      <c r="A100" s="16" t="n">
        <v>2026</v>
      </c>
      <c r="B100" s="16" t="s">
        <v>161</v>
      </c>
      <c r="C100" s="16" t="s">
        <v>69</v>
      </c>
      <c r="D100" s="16" t="s">
        <v>84</v>
      </c>
      <c r="E100" s="16" t="s">
        <v>85</v>
      </c>
      <c r="F100" s="16" t="s">
        <v>86</v>
      </c>
      <c r="G100" s="16" t="s">
        <v>87</v>
      </c>
      <c r="H100" s="16" t="s">
        <v>88</v>
      </c>
      <c r="I100" s="17" t="n">
        <v>7.4</v>
      </c>
      <c r="J100" s="16" t="s">
        <v>89</v>
      </c>
      <c r="K100" s="16" t="s">
        <v>90</v>
      </c>
      <c r="L100" s="16" t="s">
        <v>91</v>
      </c>
      <c r="M100" s="16" t="s">
        <v>66</v>
      </c>
    </row>
    <row r="101" customFormat="false" ht="15" hidden="false" customHeight="true" outlineLevel="0" collapsed="false">
      <c r="A101" s="13" t="n">
        <v>2026</v>
      </c>
      <c r="B101" s="13" t="s">
        <v>161</v>
      </c>
      <c r="C101" s="13" t="s">
        <v>69</v>
      </c>
      <c r="D101" s="13" t="s">
        <v>84</v>
      </c>
      <c r="E101" s="13" t="s">
        <v>85</v>
      </c>
      <c r="F101" s="13" t="s">
        <v>86</v>
      </c>
      <c r="G101" s="13" t="s">
        <v>87</v>
      </c>
      <c r="H101" s="13" t="s">
        <v>92</v>
      </c>
      <c r="I101" s="14" t="n">
        <v>5.38</v>
      </c>
      <c r="J101" s="13" t="s">
        <v>93</v>
      </c>
      <c r="K101" s="13" t="s">
        <v>94</v>
      </c>
      <c r="L101" s="13" t="s">
        <v>91</v>
      </c>
      <c r="M101" s="13" t="s">
        <v>66</v>
      </c>
    </row>
    <row r="102" customFormat="false" ht="15" hidden="false" customHeight="true" outlineLevel="0" collapsed="false">
      <c r="A102" s="16" t="n">
        <v>2026</v>
      </c>
      <c r="B102" s="16" t="s">
        <v>161</v>
      </c>
      <c r="C102" s="16" t="s">
        <v>69</v>
      </c>
      <c r="D102" s="16" t="s">
        <v>84</v>
      </c>
      <c r="E102" s="16" t="s">
        <v>85</v>
      </c>
      <c r="F102" s="16" t="s">
        <v>86</v>
      </c>
      <c r="G102" s="16" t="s">
        <v>87</v>
      </c>
      <c r="H102" s="16" t="s">
        <v>95</v>
      </c>
      <c r="I102" s="17" t="n">
        <v>2.58</v>
      </c>
      <c r="J102" s="16" t="s">
        <v>93</v>
      </c>
      <c r="K102" s="16" t="s">
        <v>96</v>
      </c>
      <c r="L102" s="16" t="s">
        <v>91</v>
      </c>
      <c r="M102" s="16" t="s">
        <v>66</v>
      </c>
    </row>
    <row r="103" customFormat="false" ht="15" hidden="false" customHeight="true" outlineLevel="0" collapsed="false">
      <c r="A103" s="13" t="n">
        <v>2026</v>
      </c>
      <c r="B103" s="13" t="s">
        <v>161</v>
      </c>
      <c r="C103" s="13" t="s">
        <v>69</v>
      </c>
      <c r="D103" s="13" t="s">
        <v>84</v>
      </c>
      <c r="E103" s="13" t="s">
        <v>85</v>
      </c>
      <c r="F103" s="13" t="s">
        <v>86</v>
      </c>
      <c r="G103" s="13" t="s">
        <v>87</v>
      </c>
      <c r="H103" s="13" t="s">
        <v>98</v>
      </c>
      <c r="I103" s="14" t="n">
        <v>12.28</v>
      </c>
      <c r="J103" s="13" t="s">
        <v>93</v>
      </c>
      <c r="K103" s="13" t="s">
        <v>99</v>
      </c>
      <c r="L103" s="13" t="s">
        <v>91</v>
      </c>
      <c r="M103" s="13" t="s">
        <v>66</v>
      </c>
    </row>
    <row r="104" customFormat="false" ht="15" hidden="false" customHeight="true" outlineLevel="0" collapsed="false">
      <c r="A104" s="16" t="n">
        <v>2026</v>
      </c>
      <c r="B104" s="16" t="s">
        <v>162</v>
      </c>
      <c r="C104" s="16" t="s">
        <v>13</v>
      </c>
      <c r="D104" s="16" t="s">
        <v>29</v>
      </c>
      <c r="E104" s="16" t="s">
        <v>101</v>
      </c>
      <c r="F104" s="16" t="s">
        <v>102</v>
      </c>
      <c r="G104" s="16" t="s">
        <v>103</v>
      </c>
      <c r="H104" s="16" t="s">
        <v>104</v>
      </c>
      <c r="I104" s="17" t="n">
        <v>2296</v>
      </c>
      <c r="J104" s="16" t="s">
        <v>105</v>
      </c>
      <c r="K104" s="16" t="s">
        <v>106</v>
      </c>
      <c r="L104" s="16" t="s">
        <v>97</v>
      </c>
      <c r="M104" s="16" t="s">
        <v>107</v>
      </c>
    </row>
    <row r="105" customFormat="false" ht="15" hidden="false" customHeight="true" outlineLevel="0" collapsed="false">
      <c r="A105" s="13" t="n">
        <v>2026</v>
      </c>
      <c r="B105" s="13" t="s">
        <v>162</v>
      </c>
      <c r="C105" s="13" t="s">
        <v>108</v>
      </c>
      <c r="D105" s="13" t="s">
        <v>109</v>
      </c>
      <c r="E105" s="13" t="s">
        <v>101</v>
      </c>
      <c r="F105" s="13" t="s">
        <v>110</v>
      </c>
      <c r="G105" s="13" t="s">
        <v>103</v>
      </c>
      <c r="H105" s="13" t="s">
        <v>104</v>
      </c>
      <c r="I105" s="14" t="n">
        <v>1989</v>
      </c>
      <c r="J105" s="13" t="s">
        <v>105</v>
      </c>
      <c r="K105" s="13" t="s">
        <v>106</v>
      </c>
      <c r="L105" s="13" t="s">
        <v>97</v>
      </c>
      <c r="M105" s="13" t="s">
        <v>107</v>
      </c>
    </row>
    <row r="106" customFormat="false" ht="15" hidden="false" customHeight="true" outlineLevel="0" collapsed="false">
      <c r="A106" s="16" t="n">
        <v>2026</v>
      </c>
      <c r="B106" s="16" t="s">
        <v>162</v>
      </c>
      <c r="C106" s="16" t="s">
        <v>111</v>
      </c>
      <c r="D106" s="16" t="s">
        <v>112</v>
      </c>
      <c r="E106" s="16" t="s">
        <v>101</v>
      </c>
      <c r="F106" s="16" t="s">
        <v>113</v>
      </c>
      <c r="G106" s="16" t="s">
        <v>103</v>
      </c>
      <c r="H106" s="16" t="s">
        <v>104</v>
      </c>
      <c r="I106" s="17" t="n">
        <v>1926</v>
      </c>
      <c r="J106" s="16" t="s">
        <v>105</v>
      </c>
      <c r="K106" s="16" t="s">
        <v>106</v>
      </c>
      <c r="L106" s="16" t="s">
        <v>97</v>
      </c>
      <c r="M106" s="16" t="s">
        <v>107</v>
      </c>
    </row>
    <row r="107" customFormat="false" ht="15" hidden="false" customHeight="true" outlineLevel="0" collapsed="false">
      <c r="A107" s="13" t="n">
        <v>2026</v>
      </c>
      <c r="B107" s="13" t="s">
        <v>162</v>
      </c>
      <c r="C107" s="13" t="s">
        <v>114</v>
      </c>
      <c r="D107" s="13" t="s">
        <v>115</v>
      </c>
      <c r="E107" s="13" t="s">
        <v>101</v>
      </c>
      <c r="F107" s="13" t="s">
        <v>116</v>
      </c>
      <c r="G107" s="13" t="s">
        <v>103</v>
      </c>
      <c r="H107" s="13" t="s">
        <v>104</v>
      </c>
      <c r="I107" s="14" t="n">
        <v>1202</v>
      </c>
      <c r="J107" s="13" t="s">
        <v>105</v>
      </c>
      <c r="K107" s="13" t="s">
        <v>106</v>
      </c>
      <c r="L107" s="13" t="s">
        <v>97</v>
      </c>
      <c r="M107" s="13" t="s">
        <v>107</v>
      </c>
    </row>
    <row r="108" customFormat="false" ht="15" hidden="false" customHeight="true" outlineLevel="0" collapsed="false">
      <c r="A108" s="16" t="n">
        <v>2026</v>
      </c>
      <c r="B108" s="16" t="s">
        <v>162</v>
      </c>
      <c r="C108" s="16" t="s">
        <v>73</v>
      </c>
      <c r="D108" s="16" t="s">
        <v>117</v>
      </c>
      <c r="E108" s="16" t="s">
        <v>101</v>
      </c>
      <c r="F108" s="16" t="s">
        <v>118</v>
      </c>
      <c r="G108" s="16" t="s">
        <v>103</v>
      </c>
      <c r="H108" s="16" t="s">
        <v>119</v>
      </c>
      <c r="I108" s="17" t="n">
        <v>339.7</v>
      </c>
      <c r="J108" s="16" t="s">
        <v>120</v>
      </c>
      <c r="K108" s="16" t="s">
        <v>121</v>
      </c>
      <c r="L108" s="16" t="s">
        <v>97</v>
      </c>
      <c r="M108" s="16" t="s">
        <v>107</v>
      </c>
    </row>
    <row r="109" customFormat="false" ht="15" hidden="false" customHeight="true" outlineLevel="0" collapsed="false">
      <c r="A109" s="13" t="n">
        <v>2026</v>
      </c>
      <c r="B109" s="13" t="s">
        <v>162</v>
      </c>
      <c r="C109" s="13" t="s">
        <v>73</v>
      </c>
      <c r="D109" s="13" t="s">
        <v>122</v>
      </c>
      <c r="E109" s="13" t="s">
        <v>101</v>
      </c>
      <c r="F109" s="13" t="s">
        <v>123</v>
      </c>
      <c r="G109" s="13" t="s">
        <v>103</v>
      </c>
      <c r="H109" s="13" t="s">
        <v>119</v>
      </c>
      <c r="I109" s="14" t="n">
        <v>299.1</v>
      </c>
      <c r="J109" s="13" t="s">
        <v>120</v>
      </c>
      <c r="K109" s="13" t="s">
        <v>121</v>
      </c>
      <c r="L109" s="13" t="s">
        <v>97</v>
      </c>
      <c r="M109" s="13" t="s">
        <v>107</v>
      </c>
    </row>
    <row r="110" customFormat="false" ht="15" hidden="false" customHeight="true" outlineLevel="0" collapsed="false">
      <c r="A110" s="16" t="n">
        <v>2026</v>
      </c>
      <c r="B110" s="16" t="s">
        <v>162</v>
      </c>
      <c r="C110" s="16" t="s">
        <v>69</v>
      </c>
      <c r="D110" s="16" t="s">
        <v>84</v>
      </c>
      <c r="E110" s="16" t="s">
        <v>101</v>
      </c>
      <c r="F110" s="16" t="s">
        <v>124</v>
      </c>
      <c r="G110" s="16" t="s">
        <v>103</v>
      </c>
      <c r="H110" s="16" t="s">
        <v>119</v>
      </c>
      <c r="I110" s="17" t="n">
        <v>288.94</v>
      </c>
      <c r="J110" s="16" t="s">
        <v>120</v>
      </c>
      <c r="K110" s="16" t="s">
        <v>121</v>
      </c>
      <c r="L110" s="16" t="s">
        <v>97</v>
      </c>
      <c r="M110" s="16" t="s">
        <v>107</v>
      </c>
    </row>
    <row r="111" customFormat="false" ht="15" hidden="false" customHeight="true" outlineLevel="0" collapsed="false">
      <c r="A111" s="13" t="n">
        <v>2026</v>
      </c>
      <c r="B111" s="13" t="s">
        <v>162</v>
      </c>
      <c r="C111" s="13" t="s">
        <v>38</v>
      </c>
      <c r="D111" s="13" t="s">
        <v>125</v>
      </c>
      <c r="E111" s="13" t="s">
        <v>101</v>
      </c>
      <c r="F111" s="13" t="s">
        <v>126</v>
      </c>
      <c r="G111" s="13" t="s">
        <v>103</v>
      </c>
      <c r="H111" s="13" t="s">
        <v>127</v>
      </c>
      <c r="I111" s="14" t="n">
        <v>22</v>
      </c>
      <c r="J111" s="13" t="s">
        <v>105</v>
      </c>
      <c r="K111" s="13" t="s">
        <v>128</v>
      </c>
      <c r="L111" s="13" t="s">
        <v>97</v>
      </c>
      <c r="M111" s="13" t="s">
        <v>107</v>
      </c>
    </row>
    <row r="112" customFormat="false" ht="15" hidden="false" customHeight="true" outlineLevel="0" collapsed="false">
      <c r="A112" s="16" t="n">
        <v>2026</v>
      </c>
      <c r="B112" s="16" t="s">
        <v>162</v>
      </c>
      <c r="C112" s="16" t="s">
        <v>38</v>
      </c>
      <c r="D112" s="16" t="s">
        <v>129</v>
      </c>
      <c r="E112" s="16" t="s">
        <v>101</v>
      </c>
      <c r="F112" s="16" t="s">
        <v>130</v>
      </c>
      <c r="G112" s="16" t="s">
        <v>103</v>
      </c>
      <c r="H112" s="16" t="s">
        <v>127</v>
      </c>
      <c r="I112" s="17" t="n">
        <v>22</v>
      </c>
      <c r="J112" s="16" t="s">
        <v>105</v>
      </c>
      <c r="K112" s="16" t="s">
        <v>128</v>
      </c>
      <c r="L112" s="16" t="s">
        <v>97</v>
      </c>
      <c r="M112" s="16" t="s">
        <v>107</v>
      </c>
    </row>
    <row r="113" customFormat="false" ht="15" hidden="false" customHeight="true" outlineLevel="0" collapsed="false">
      <c r="A113" s="13" t="n">
        <v>2026</v>
      </c>
      <c r="B113" s="13" t="s">
        <v>162</v>
      </c>
      <c r="C113" s="13" t="s">
        <v>114</v>
      </c>
      <c r="D113" s="13" t="s">
        <v>131</v>
      </c>
      <c r="E113" s="13" t="s">
        <v>101</v>
      </c>
      <c r="F113" s="13" t="s">
        <v>132</v>
      </c>
      <c r="G113" s="13" t="s">
        <v>103</v>
      </c>
      <c r="H113" s="13" t="s">
        <v>133</v>
      </c>
      <c r="I113" s="14" t="n">
        <v>1035</v>
      </c>
      <c r="J113" s="13" t="s">
        <v>120</v>
      </c>
      <c r="K113" s="13" t="s">
        <v>134</v>
      </c>
      <c r="L113" s="13" t="s">
        <v>97</v>
      </c>
      <c r="M113" s="13" t="s">
        <v>107</v>
      </c>
    </row>
    <row r="114" customFormat="false" ht="15" hidden="false" customHeight="true" outlineLevel="0" collapsed="false">
      <c r="A114" s="16" t="n">
        <v>2026</v>
      </c>
      <c r="B114" s="16" t="s">
        <v>162</v>
      </c>
      <c r="C114" s="16" t="s">
        <v>111</v>
      </c>
      <c r="D114" s="16" t="s">
        <v>135</v>
      </c>
      <c r="E114" s="16" t="s">
        <v>101</v>
      </c>
      <c r="F114" s="16" t="s">
        <v>136</v>
      </c>
      <c r="G114" s="16" t="s">
        <v>103</v>
      </c>
      <c r="H114" s="16" t="s">
        <v>133</v>
      </c>
      <c r="I114" s="17" t="n">
        <v>643.2</v>
      </c>
      <c r="J114" s="16" t="s">
        <v>120</v>
      </c>
      <c r="K114" s="16" t="s">
        <v>134</v>
      </c>
      <c r="L114" s="16" t="s">
        <v>97</v>
      </c>
      <c r="M114" s="16" t="s">
        <v>107</v>
      </c>
    </row>
    <row r="115" customFormat="false" ht="15" hidden="false" customHeight="true" outlineLevel="0" collapsed="false">
      <c r="A115" s="13" t="n">
        <v>2026</v>
      </c>
      <c r="B115" s="13" t="s">
        <v>162</v>
      </c>
      <c r="C115" s="13" t="s">
        <v>67</v>
      </c>
      <c r="D115" s="13" t="s">
        <v>137</v>
      </c>
      <c r="E115" s="13" t="s">
        <v>101</v>
      </c>
      <c r="F115" s="13" t="s">
        <v>138</v>
      </c>
      <c r="G115" s="13" t="s">
        <v>103</v>
      </c>
      <c r="H115" s="13" t="s">
        <v>139</v>
      </c>
      <c r="I115" s="14" t="n">
        <v>7.01</v>
      </c>
      <c r="J115" s="13" t="s">
        <v>105</v>
      </c>
      <c r="K115" s="13" t="s">
        <v>140</v>
      </c>
      <c r="L115" s="13" t="s">
        <v>97</v>
      </c>
      <c r="M115" s="13" t="s">
        <v>107</v>
      </c>
    </row>
    <row r="116" customFormat="false" ht="15" hidden="false" customHeight="true" outlineLevel="0" collapsed="false">
      <c r="A116" s="16" t="n">
        <v>2026</v>
      </c>
      <c r="B116" s="16" t="s">
        <v>162</v>
      </c>
      <c r="C116" s="16" t="s">
        <v>141</v>
      </c>
      <c r="D116" s="16" t="s">
        <v>142</v>
      </c>
      <c r="E116" s="16" t="s">
        <v>101</v>
      </c>
      <c r="F116" s="16" t="s">
        <v>143</v>
      </c>
      <c r="G116" s="16" t="s">
        <v>103</v>
      </c>
      <c r="H116" s="16" t="s">
        <v>139</v>
      </c>
      <c r="I116" s="17" t="n">
        <v>6.978</v>
      </c>
      <c r="J116" s="16" t="s">
        <v>105</v>
      </c>
      <c r="K116" s="16" t="s">
        <v>140</v>
      </c>
      <c r="L116" s="16" t="s">
        <v>97</v>
      </c>
      <c r="M116" s="16" t="s">
        <v>107</v>
      </c>
    </row>
    <row r="117" customFormat="false" ht="15" hidden="false" customHeight="true" outlineLevel="0" collapsed="false">
      <c r="A117" s="13" t="n">
        <v>2026</v>
      </c>
      <c r="B117" s="13" t="s">
        <v>162</v>
      </c>
      <c r="C117" s="13" t="s">
        <v>111</v>
      </c>
      <c r="D117" s="13" t="s">
        <v>144</v>
      </c>
      <c r="E117" s="13" t="s">
        <v>101</v>
      </c>
      <c r="F117" s="13" t="s">
        <v>145</v>
      </c>
      <c r="G117" s="13" t="s">
        <v>103</v>
      </c>
      <c r="H117" s="13" t="s">
        <v>146</v>
      </c>
      <c r="I117" s="14" t="n">
        <v>0.356</v>
      </c>
      <c r="J117" s="13" t="s">
        <v>105</v>
      </c>
      <c r="K117" s="13" t="s">
        <v>147</v>
      </c>
      <c r="L117" s="13" t="s">
        <v>97</v>
      </c>
      <c r="M117" s="13" t="s">
        <v>107</v>
      </c>
    </row>
    <row r="118" customFormat="false" ht="15" hidden="false" customHeight="true" outlineLevel="0" collapsed="false">
      <c r="A118" s="16" t="n">
        <v>2026</v>
      </c>
      <c r="B118" s="16" t="s">
        <v>162</v>
      </c>
      <c r="C118" s="16" t="s">
        <v>148</v>
      </c>
      <c r="D118" s="16" t="s">
        <v>149</v>
      </c>
      <c r="E118" s="16" t="s">
        <v>101</v>
      </c>
      <c r="F118" s="16" t="s">
        <v>150</v>
      </c>
      <c r="G118" s="16" t="s">
        <v>103</v>
      </c>
      <c r="H118" s="16" t="s">
        <v>151</v>
      </c>
      <c r="I118" s="17" t="n">
        <v>58.622</v>
      </c>
      <c r="J118" s="16" t="s">
        <v>105</v>
      </c>
      <c r="K118" s="16" t="s">
        <v>152</v>
      </c>
      <c r="L118" s="16" t="s">
        <v>97</v>
      </c>
      <c r="M118" s="16" t="s">
        <v>107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05"/>
    <col collapsed="false" customWidth="true" hidden="false" outlineLevel="0" max="2" min="2" style="1" width="39"/>
    <col collapsed="false" customWidth="true" hidden="false" outlineLevel="0" max="3" min="3" style="1" width="13"/>
    <col collapsed="false" customWidth="true" hidden="false" outlineLevel="0" max="4" min="4" style="1" width="25"/>
    <col collapsed="false" customWidth="true" hidden="false" outlineLevel="0" max="5" min="5" style="1" width="19"/>
    <col collapsed="false" customWidth="true" hidden="false" outlineLevel="0" max="6" min="6" style="1" width="13"/>
    <col collapsed="false" customWidth="true" hidden="false" outlineLevel="0" max="7" min="7" style="1" width="20"/>
    <col collapsed="false" customWidth="true" hidden="false" outlineLevel="0" max="10" min="8" style="1" width="21"/>
    <col collapsed="false" customWidth="true" hidden="false" outlineLevel="0" max="11" min="11" style="1" width="26"/>
    <col collapsed="false" customWidth="true" hidden="false" outlineLevel="0" max="12" min="12" style="1" width="22"/>
    <col collapsed="false" customWidth="true" hidden="false" outlineLevel="0" max="13" min="13" style="1" width="17"/>
    <col collapsed="false" customWidth="true" hidden="false" outlineLevel="0" max="14" min="14" style="1" width="28"/>
    <col collapsed="false" customWidth="true" hidden="false" outlineLevel="0" max="15" min="15" style="1" width="17"/>
    <col collapsed="false" customWidth="true" hidden="false" outlineLevel="0" max="16" min="16" style="1" width="31"/>
  </cols>
  <sheetData>
    <row r="1" customFormat="false" ht="30" hidden="false" customHeight="true" outlineLevel="0" collapsed="false">
      <c r="A1" s="2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3" t="s">
        <v>164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25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6</v>
      </c>
      <c r="E4" s="4" t="s">
        <v>11</v>
      </c>
      <c r="F4" s="4" t="s">
        <v>165</v>
      </c>
      <c r="G4" s="4" t="s">
        <v>166</v>
      </c>
      <c r="H4" s="4" t="s">
        <v>167</v>
      </c>
      <c r="I4" s="4" t="s">
        <v>168</v>
      </c>
      <c r="J4" s="4" t="s">
        <v>169</v>
      </c>
      <c r="K4" s="4" t="s">
        <v>170</v>
      </c>
      <c r="L4" s="4" t="s">
        <v>171</v>
      </c>
      <c r="M4" s="4" t="s">
        <v>172</v>
      </c>
      <c r="N4" s="4" t="s">
        <v>173</v>
      </c>
      <c r="O4" s="4" t="s">
        <v>174</v>
      </c>
      <c r="P4" s="4" t="s">
        <v>175</v>
      </c>
    </row>
    <row r="5" customFormat="false" ht="19.5" hidden="false" customHeight="true" outlineLevel="0" collapsed="false">
      <c r="A5" s="5" t="n">
        <v>2021</v>
      </c>
      <c r="B5" s="19" t="s">
        <v>176</v>
      </c>
      <c r="C5" s="6" t="s">
        <v>177</v>
      </c>
      <c r="D5" s="6" t="s">
        <v>178</v>
      </c>
      <c r="E5" s="8" t="n">
        <v>9</v>
      </c>
      <c r="F5" s="7" t="n">
        <v>7.08</v>
      </c>
      <c r="G5" s="7" t="n">
        <v>6.96</v>
      </c>
      <c r="H5" s="7" t="n">
        <v>1.24</v>
      </c>
      <c r="I5" s="7" t="n">
        <v>5.65</v>
      </c>
      <c r="J5" s="8" t="n">
        <v>245.55</v>
      </c>
      <c r="K5" s="7" t="n">
        <v>1.77</v>
      </c>
      <c r="L5" s="20" t="n">
        <v>399</v>
      </c>
      <c r="M5" s="8" t="n">
        <v>0</v>
      </c>
      <c r="N5" s="8" t="n">
        <v>1</v>
      </c>
      <c r="O5" s="8" t="n">
        <v>0</v>
      </c>
      <c r="P5" s="6" t="s">
        <v>179</v>
      </c>
    </row>
    <row r="6" customFormat="false" ht="19.5" hidden="false" customHeight="true" outlineLevel="0" collapsed="false">
      <c r="A6" s="9" t="n">
        <v>2021</v>
      </c>
      <c r="B6" s="21" t="s">
        <v>13</v>
      </c>
      <c r="C6" s="10" t="s">
        <v>180</v>
      </c>
      <c r="D6" s="10" t="s">
        <v>178</v>
      </c>
      <c r="E6" s="12" t="n">
        <v>107</v>
      </c>
      <c r="F6" s="11" t="n">
        <v>7.17</v>
      </c>
      <c r="G6" s="11" t="n">
        <v>6.73</v>
      </c>
      <c r="H6" s="11" t="n">
        <v>1.16</v>
      </c>
      <c r="I6" s="11" t="n">
        <v>5.45</v>
      </c>
      <c r="J6" s="12" t="n">
        <v>245.78</v>
      </c>
      <c r="K6" s="11" t="n">
        <v>1.84</v>
      </c>
      <c r="L6" s="20" t="n">
        <v>44706</v>
      </c>
      <c r="M6" s="12" t="n">
        <v>0</v>
      </c>
      <c r="N6" s="12" t="n">
        <v>0</v>
      </c>
      <c r="O6" s="12" t="n">
        <v>0</v>
      </c>
      <c r="P6" s="10" t="s">
        <v>181</v>
      </c>
    </row>
    <row r="7" customFormat="false" ht="19.5" hidden="false" customHeight="true" outlineLevel="0" collapsed="false">
      <c r="A7" s="5" t="n">
        <v>2021</v>
      </c>
      <c r="B7" s="19" t="s">
        <v>182</v>
      </c>
      <c r="C7" s="6" t="s">
        <v>183</v>
      </c>
      <c r="D7" s="6" t="s">
        <v>178</v>
      </c>
      <c r="E7" s="8" t="n">
        <v>30</v>
      </c>
      <c r="F7" s="7" t="n">
        <v>7.1</v>
      </c>
      <c r="G7" s="7" t="n">
        <v>6.68</v>
      </c>
      <c r="H7" s="7" t="n">
        <v>1.22</v>
      </c>
      <c r="I7" s="7" t="n">
        <v>5.18</v>
      </c>
      <c r="J7" s="8" t="n">
        <v>248.2</v>
      </c>
      <c r="K7" s="7" t="n">
        <v>1.77</v>
      </c>
      <c r="L7" s="20" t="n">
        <v>18440</v>
      </c>
      <c r="M7" s="8" t="n">
        <v>0</v>
      </c>
      <c r="N7" s="8" t="n">
        <v>0</v>
      </c>
      <c r="O7" s="8" t="n">
        <v>0</v>
      </c>
      <c r="P7" s="6" t="s">
        <v>181</v>
      </c>
    </row>
    <row r="8" customFormat="false" ht="19.5" hidden="false" customHeight="true" outlineLevel="0" collapsed="false">
      <c r="A8" s="9" t="n">
        <v>2021</v>
      </c>
      <c r="B8" s="21" t="s">
        <v>184</v>
      </c>
      <c r="C8" s="10" t="s">
        <v>183</v>
      </c>
      <c r="D8" s="10" t="s">
        <v>178</v>
      </c>
      <c r="E8" s="12" t="n">
        <v>69</v>
      </c>
      <c r="F8" s="11" t="n">
        <v>7.1</v>
      </c>
      <c r="G8" s="11" t="n">
        <v>6.85</v>
      </c>
      <c r="H8" s="11" t="n">
        <v>1.24</v>
      </c>
      <c r="I8" s="11" t="n">
        <v>5.41</v>
      </c>
      <c r="J8" s="12" t="n">
        <v>243.35</v>
      </c>
      <c r="K8" s="11" t="n">
        <v>1.87</v>
      </c>
      <c r="L8" s="20" t="n">
        <v>41850</v>
      </c>
      <c r="M8" s="12" t="n">
        <v>0</v>
      </c>
      <c r="N8" s="12" t="n">
        <v>329</v>
      </c>
      <c r="O8" s="12" t="n">
        <v>0</v>
      </c>
      <c r="P8" s="10" t="s">
        <v>185</v>
      </c>
    </row>
    <row r="9" customFormat="false" ht="19.5" hidden="false" customHeight="true" outlineLevel="0" collapsed="false">
      <c r="A9" s="5" t="n">
        <v>2021</v>
      </c>
      <c r="B9" s="19" t="s">
        <v>69</v>
      </c>
      <c r="C9" s="6" t="s">
        <v>50</v>
      </c>
      <c r="D9" s="6" t="s">
        <v>178</v>
      </c>
      <c r="E9" s="8" t="n">
        <v>97</v>
      </c>
      <c r="F9" s="7" t="n">
        <v>7.38</v>
      </c>
      <c r="G9" s="7" t="n">
        <v>5.23</v>
      </c>
      <c r="H9" s="7" t="n">
        <v>2.79</v>
      </c>
      <c r="I9" s="7" t="n">
        <v>11.77</v>
      </c>
      <c r="J9" s="8" t="n">
        <v>133.12</v>
      </c>
      <c r="K9" s="7" t="n">
        <v>174.94</v>
      </c>
      <c r="L9" s="20" t="n">
        <v>34993</v>
      </c>
      <c r="M9" s="8" t="n">
        <v>0</v>
      </c>
      <c r="N9" s="8" t="n">
        <v>7</v>
      </c>
      <c r="O9" s="8" t="n">
        <v>0</v>
      </c>
      <c r="P9" s="6" t="s">
        <v>186</v>
      </c>
    </row>
    <row r="10" customFormat="false" ht="19.5" hidden="false" customHeight="true" outlineLevel="0" collapsed="false">
      <c r="A10" s="9" t="n">
        <v>2021</v>
      </c>
      <c r="B10" s="21" t="s">
        <v>187</v>
      </c>
      <c r="C10" s="10" t="s">
        <v>188</v>
      </c>
      <c r="D10" s="10" t="s">
        <v>178</v>
      </c>
      <c r="E10" s="12" t="n">
        <v>65</v>
      </c>
      <c r="F10" s="11" t="n">
        <v>7.14</v>
      </c>
      <c r="G10" s="11" t="n">
        <v>6.74</v>
      </c>
      <c r="H10" s="11" t="n">
        <v>1.14</v>
      </c>
      <c r="I10" s="11" t="n">
        <v>5.6</v>
      </c>
      <c r="J10" s="12" t="n">
        <v>256.7</v>
      </c>
      <c r="K10" s="11" t="n">
        <v>1.8</v>
      </c>
      <c r="L10" s="20" t="n">
        <v>21092</v>
      </c>
      <c r="M10" s="12" t="n">
        <v>0</v>
      </c>
      <c r="N10" s="12" t="n">
        <v>19</v>
      </c>
      <c r="O10" s="12" t="n">
        <v>0</v>
      </c>
      <c r="P10" s="10" t="s">
        <v>189</v>
      </c>
    </row>
    <row r="11" customFormat="false" ht="19.5" hidden="false" customHeight="true" outlineLevel="0" collapsed="false">
      <c r="A11" s="5" t="n">
        <v>2021</v>
      </c>
      <c r="B11" s="19" t="s">
        <v>190</v>
      </c>
      <c r="C11" s="6" t="s">
        <v>177</v>
      </c>
      <c r="D11" s="6" t="s">
        <v>178</v>
      </c>
      <c r="E11" s="8" t="n">
        <v>2</v>
      </c>
      <c r="F11" s="7" t="n">
        <v>7.14</v>
      </c>
      <c r="G11" s="7" t="n">
        <v>6.63</v>
      </c>
      <c r="H11" s="7" t="n">
        <v>1.23</v>
      </c>
      <c r="I11" s="7" t="n">
        <v>5.42</v>
      </c>
      <c r="J11" s="8" t="n">
        <v>252.05</v>
      </c>
      <c r="K11" s="7" t="n">
        <v>1.75</v>
      </c>
      <c r="L11" s="20" t="n">
        <v>0</v>
      </c>
      <c r="M11" s="8" t="n">
        <v>0</v>
      </c>
      <c r="N11" s="8" t="n">
        <v>0</v>
      </c>
      <c r="O11" s="8" t="n">
        <v>0</v>
      </c>
      <c r="P11" s="6" t="s">
        <v>181</v>
      </c>
    </row>
    <row r="12" customFormat="false" ht="19.5" hidden="false" customHeight="true" outlineLevel="0" collapsed="false">
      <c r="A12" s="9" t="n">
        <v>2021</v>
      </c>
      <c r="B12" s="21" t="s">
        <v>191</v>
      </c>
      <c r="C12" s="10" t="s">
        <v>192</v>
      </c>
      <c r="D12" s="10" t="s">
        <v>178</v>
      </c>
      <c r="E12" s="12" t="n">
        <v>19</v>
      </c>
      <c r="F12" s="11" t="n">
        <v>7.07</v>
      </c>
      <c r="G12" s="11" t="n">
        <v>6.94</v>
      </c>
      <c r="H12" s="11" t="n">
        <v>1.21</v>
      </c>
      <c r="I12" s="11" t="n">
        <v>5.75</v>
      </c>
      <c r="J12" s="12" t="n">
        <v>244.59</v>
      </c>
      <c r="K12" s="11" t="n">
        <v>1.87</v>
      </c>
      <c r="L12" s="20" t="n">
        <v>466</v>
      </c>
      <c r="M12" s="12" t="n">
        <v>0</v>
      </c>
      <c r="N12" s="12" t="n">
        <v>3</v>
      </c>
      <c r="O12" s="12" t="n">
        <v>0</v>
      </c>
      <c r="P12" s="10" t="s">
        <v>193</v>
      </c>
    </row>
    <row r="13" customFormat="false" ht="19.5" hidden="false" customHeight="true" outlineLevel="0" collapsed="false">
      <c r="A13" s="5" t="n">
        <v>2021</v>
      </c>
      <c r="B13" s="19" t="s">
        <v>194</v>
      </c>
      <c r="C13" s="6" t="s">
        <v>192</v>
      </c>
      <c r="D13" s="6" t="s">
        <v>178</v>
      </c>
      <c r="E13" s="8" t="n">
        <v>333</v>
      </c>
      <c r="F13" s="7" t="n">
        <v>7.15</v>
      </c>
      <c r="G13" s="7" t="n">
        <v>6.9</v>
      </c>
      <c r="H13" s="7" t="n">
        <v>1.26</v>
      </c>
      <c r="I13" s="7" t="n">
        <v>5.79</v>
      </c>
      <c r="J13" s="8" t="n">
        <v>255.03</v>
      </c>
      <c r="K13" s="7" t="n">
        <v>1.84</v>
      </c>
      <c r="L13" s="20" t="n">
        <v>80900</v>
      </c>
      <c r="M13" s="8" t="n">
        <v>0</v>
      </c>
      <c r="N13" s="8" t="n">
        <v>276</v>
      </c>
      <c r="O13" s="8" t="n">
        <v>0</v>
      </c>
      <c r="P13" s="6" t="s">
        <v>195</v>
      </c>
    </row>
    <row r="14" customFormat="false" ht="19.5" hidden="false" customHeight="true" outlineLevel="0" collapsed="false">
      <c r="A14" s="9" t="n">
        <v>2021</v>
      </c>
      <c r="B14" s="21" t="s">
        <v>38</v>
      </c>
      <c r="C14" s="10" t="s">
        <v>39</v>
      </c>
      <c r="D14" s="10" t="s">
        <v>178</v>
      </c>
      <c r="E14" s="12" t="n">
        <v>36</v>
      </c>
      <c r="F14" s="11" t="n">
        <v>7.05</v>
      </c>
      <c r="G14" s="11" t="n">
        <v>6.85</v>
      </c>
      <c r="H14" s="11" t="n">
        <v>1.16</v>
      </c>
      <c r="I14" s="11" t="n">
        <v>5.25</v>
      </c>
      <c r="J14" s="12" t="n">
        <v>254.1</v>
      </c>
      <c r="K14" s="11" t="n">
        <v>1.78</v>
      </c>
      <c r="L14" s="20" t="n">
        <v>11614</v>
      </c>
      <c r="M14" s="12" t="n">
        <v>0</v>
      </c>
      <c r="N14" s="12" t="n">
        <v>1279</v>
      </c>
      <c r="O14" s="12" t="n">
        <v>0</v>
      </c>
      <c r="P14" s="10" t="s">
        <v>196</v>
      </c>
    </row>
    <row r="15" customFormat="false" ht="19.5" hidden="false" customHeight="true" outlineLevel="0" collapsed="false">
      <c r="A15" s="5" t="n">
        <v>2021</v>
      </c>
      <c r="B15" s="19" t="s">
        <v>197</v>
      </c>
      <c r="C15" s="6" t="s">
        <v>39</v>
      </c>
      <c r="D15" s="6" t="s">
        <v>178</v>
      </c>
      <c r="E15" s="8" t="n">
        <v>67</v>
      </c>
      <c r="F15" s="7" t="n">
        <v>7.05</v>
      </c>
      <c r="G15" s="7" t="n">
        <v>6.76</v>
      </c>
      <c r="H15" s="7" t="n">
        <v>1.25</v>
      </c>
      <c r="I15" s="7" t="n">
        <v>5.41</v>
      </c>
      <c r="J15" s="8" t="n">
        <v>253.88</v>
      </c>
      <c r="K15" s="7" t="n">
        <v>1.77</v>
      </c>
      <c r="L15" s="20" t="n">
        <v>56912</v>
      </c>
      <c r="M15" s="8" t="n">
        <v>0</v>
      </c>
      <c r="N15" s="8" t="n">
        <v>0</v>
      </c>
      <c r="O15" s="8" t="n">
        <v>0</v>
      </c>
      <c r="P15" s="6" t="s">
        <v>181</v>
      </c>
    </row>
    <row r="16" customFormat="false" ht="19.5" hidden="false" customHeight="true" outlineLevel="0" collapsed="false">
      <c r="A16" s="9" t="n">
        <v>2021</v>
      </c>
      <c r="B16" s="21" t="s">
        <v>141</v>
      </c>
      <c r="C16" s="10" t="s">
        <v>39</v>
      </c>
      <c r="D16" s="10" t="s">
        <v>178</v>
      </c>
      <c r="E16" s="12" t="n">
        <v>80</v>
      </c>
      <c r="F16" s="11" t="n">
        <v>7.13</v>
      </c>
      <c r="G16" s="11" t="n">
        <v>6.79</v>
      </c>
      <c r="H16" s="11" t="n">
        <v>1.22</v>
      </c>
      <c r="I16" s="11" t="n">
        <v>5.72</v>
      </c>
      <c r="J16" s="12" t="n">
        <v>246.16</v>
      </c>
      <c r="K16" s="11" t="n">
        <v>1.77</v>
      </c>
      <c r="L16" s="20" t="n">
        <v>75661</v>
      </c>
      <c r="M16" s="12" t="n">
        <v>0</v>
      </c>
      <c r="N16" s="12" t="n">
        <v>53</v>
      </c>
      <c r="O16" s="12" t="n">
        <v>0</v>
      </c>
      <c r="P16" s="10" t="s">
        <v>198</v>
      </c>
    </row>
    <row r="17" customFormat="false" ht="19.5" hidden="false" customHeight="true" outlineLevel="0" collapsed="false">
      <c r="A17" s="5" t="n">
        <v>2021</v>
      </c>
      <c r="B17" s="19" t="s">
        <v>71</v>
      </c>
      <c r="C17" s="6" t="s">
        <v>50</v>
      </c>
      <c r="D17" s="6" t="s">
        <v>178</v>
      </c>
      <c r="E17" s="8" t="n">
        <v>31</v>
      </c>
      <c r="F17" s="7" t="n">
        <v>7.04</v>
      </c>
      <c r="G17" s="7" t="n">
        <v>6.65</v>
      </c>
      <c r="H17" s="7" t="n">
        <v>1.25</v>
      </c>
      <c r="I17" s="7" t="n">
        <v>5.45</v>
      </c>
      <c r="J17" s="8" t="n">
        <v>252.6</v>
      </c>
      <c r="K17" s="7" t="n">
        <v>1.88</v>
      </c>
      <c r="L17" s="20" t="n">
        <v>39992</v>
      </c>
      <c r="M17" s="8" t="n">
        <v>0</v>
      </c>
      <c r="N17" s="8" t="n">
        <v>8</v>
      </c>
      <c r="O17" s="8" t="n">
        <v>0</v>
      </c>
      <c r="P17" s="6" t="s">
        <v>186</v>
      </c>
    </row>
    <row r="18" customFormat="false" ht="19.5" hidden="false" customHeight="true" outlineLevel="0" collapsed="false">
      <c r="A18" s="9" t="n">
        <v>2021</v>
      </c>
      <c r="B18" s="21" t="s">
        <v>111</v>
      </c>
      <c r="C18" s="10" t="s">
        <v>180</v>
      </c>
      <c r="D18" s="10" t="s">
        <v>178</v>
      </c>
      <c r="E18" s="12" t="n">
        <v>83</v>
      </c>
      <c r="F18" s="11" t="n">
        <v>7.04</v>
      </c>
      <c r="G18" s="11" t="n">
        <v>6.66</v>
      </c>
      <c r="H18" s="11" t="n">
        <v>1.22</v>
      </c>
      <c r="I18" s="11" t="n">
        <v>5.16</v>
      </c>
      <c r="J18" s="12" t="n">
        <v>246.76</v>
      </c>
      <c r="K18" s="11" t="n">
        <v>1.87</v>
      </c>
      <c r="L18" s="20" t="n">
        <v>57540</v>
      </c>
      <c r="M18" s="12" t="n">
        <v>0</v>
      </c>
      <c r="N18" s="12" t="n">
        <v>2705</v>
      </c>
      <c r="O18" s="12" t="n">
        <v>0</v>
      </c>
      <c r="P18" s="10" t="s">
        <v>199</v>
      </c>
    </row>
    <row r="19" customFormat="false" ht="19.5" hidden="false" customHeight="true" outlineLevel="0" collapsed="false">
      <c r="A19" s="5" t="n">
        <v>2021</v>
      </c>
      <c r="B19" s="19" t="s">
        <v>200</v>
      </c>
      <c r="C19" s="6" t="s">
        <v>180</v>
      </c>
      <c r="D19" s="6" t="s">
        <v>178</v>
      </c>
      <c r="E19" s="8" t="n">
        <v>79</v>
      </c>
      <c r="F19" s="7" t="n">
        <v>7.1</v>
      </c>
      <c r="G19" s="7" t="n">
        <v>6.96</v>
      </c>
      <c r="H19" s="7" t="n">
        <v>1.19</v>
      </c>
      <c r="I19" s="7" t="n">
        <v>5.52</v>
      </c>
      <c r="J19" s="8" t="n">
        <v>246.53</v>
      </c>
      <c r="K19" s="7" t="n">
        <v>1.81</v>
      </c>
      <c r="L19" s="20" t="n">
        <v>65560</v>
      </c>
      <c r="M19" s="8" t="n">
        <v>0</v>
      </c>
      <c r="N19" s="8" t="n">
        <v>6153</v>
      </c>
      <c r="O19" s="8" t="n">
        <v>0</v>
      </c>
      <c r="P19" s="6" t="s">
        <v>201</v>
      </c>
    </row>
    <row r="20" customFormat="false" ht="19.5" hidden="false" customHeight="true" outlineLevel="0" collapsed="false">
      <c r="A20" s="9" t="n">
        <v>2021</v>
      </c>
      <c r="B20" s="21" t="s">
        <v>202</v>
      </c>
      <c r="C20" s="10" t="s">
        <v>177</v>
      </c>
      <c r="D20" s="10" t="s">
        <v>178</v>
      </c>
      <c r="E20" s="12" t="n">
        <v>7</v>
      </c>
      <c r="F20" s="11" t="n">
        <v>7.06</v>
      </c>
      <c r="G20" s="11" t="n">
        <v>6.89</v>
      </c>
      <c r="H20" s="11" t="n">
        <v>1.26</v>
      </c>
      <c r="I20" s="11" t="n">
        <v>5.44</v>
      </c>
      <c r="J20" s="12" t="n">
        <v>248.53</v>
      </c>
      <c r="K20" s="11" t="n">
        <v>1.79</v>
      </c>
      <c r="L20" s="20" t="n">
        <v>423</v>
      </c>
      <c r="M20" s="12" t="n">
        <v>0</v>
      </c>
      <c r="N20" s="12" t="n">
        <v>10</v>
      </c>
      <c r="O20" s="12" t="n">
        <v>0</v>
      </c>
      <c r="P20" s="10" t="s">
        <v>203</v>
      </c>
    </row>
    <row r="21" customFormat="false" ht="19.5" hidden="false" customHeight="true" outlineLevel="0" collapsed="false">
      <c r="A21" s="5" t="n">
        <v>2021</v>
      </c>
      <c r="B21" s="19" t="s">
        <v>204</v>
      </c>
      <c r="C21" s="6" t="s">
        <v>177</v>
      </c>
      <c r="D21" s="6" t="s">
        <v>178</v>
      </c>
      <c r="E21" s="8" t="n">
        <v>7</v>
      </c>
      <c r="F21" s="7" t="n">
        <v>7.14</v>
      </c>
      <c r="G21" s="7" t="n">
        <v>6.93</v>
      </c>
      <c r="H21" s="7" t="n">
        <v>1.22</v>
      </c>
      <c r="I21" s="7" t="n">
        <v>5.39</v>
      </c>
      <c r="J21" s="8" t="n">
        <v>248.9</v>
      </c>
      <c r="K21" s="7" t="n">
        <v>1.87</v>
      </c>
      <c r="L21" s="20" t="n">
        <v>1249</v>
      </c>
      <c r="M21" s="8" t="n">
        <v>0</v>
      </c>
      <c r="N21" s="8" t="n">
        <v>1</v>
      </c>
      <c r="O21" s="8" t="n">
        <v>0</v>
      </c>
      <c r="P21" s="6" t="s">
        <v>205</v>
      </c>
    </row>
    <row r="22" customFormat="false" ht="19.5" hidden="false" customHeight="true" outlineLevel="0" collapsed="false">
      <c r="A22" s="9" t="n">
        <v>2021</v>
      </c>
      <c r="B22" s="21" t="s">
        <v>206</v>
      </c>
      <c r="C22" s="10" t="s">
        <v>188</v>
      </c>
      <c r="D22" s="10" t="s">
        <v>178</v>
      </c>
      <c r="E22" s="12" t="n">
        <v>147</v>
      </c>
      <c r="F22" s="11" t="n">
        <v>7.1</v>
      </c>
      <c r="G22" s="11" t="n">
        <v>6.94</v>
      </c>
      <c r="H22" s="11" t="n">
        <v>1.21</v>
      </c>
      <c r="I22" s="11" t="n">
        <v>5.41</v>
      </c>
      <c r="J22" s="12" t="n">
        <v>244</v>
      </c>
      <c r="K22" s="11" t="n">
        <v>1.87</v>
      </c>
      <c r="L22" s="20" t="n">
        <v>136626</v>
      </c>
      <c r="M22" s="12" t="n">
        <v>0</v>
      </c>
      <c r="N22" s="12" t="n">
        <v>41</v>
      </c>
      <c r="O22" s="12" t="n">
        <v>0</v>
      </c>
      <c r="P22" s="10" t="s">
        <v>207</v>
      </c>
    </row>
    <row r="23" customFormat="false" ht="19.5" hidden="false" customHeight="true" outlineLevel="0" collapsed="false">
      <c r="A23" s="5" t="n">
        <v>2021</v>
      </c>
      <c r="B23" s="19" t="s">
        <v>208</v>
      </c>
      <c r="C23" s="6" t="s">
        <v>192</v>
      </c>
      <c r="D23" s="6" t="s">
        <v>178</v>
      </c>
      <c r="E23" s="8" t="n">
        <v>181</v>
      </c>
      <c r="F23" s="7" t="n">
        <v>7.15</v>
      </c>
      <c r="G23" s="7" t="n">
        <v>7.1</v>
      </c>
      <c r="H23" s="7" t="n">
        <v>1.52</v>
      </c>
      <c r="I23" s="7" t="n">
        <v>8.48</v>
      </c>
      <c r="J23" s="8" t="n">
        <v>316.36</v>
      </c>
      <c r="K23" s="7" t="n">
        <v>2.18</v>
      </c>
      <c r="L23" s="20" t="n">
        <v>127454</v>
      </c>
      <c r="M23" s="8" t="n">
        <v>0</v>
      </c>
      <c r="N23" s="8" t="n">
        <v>6370</v>
      </c>
      <c r="O23" s="8" t="n">
        <v>0</v>
      </c>
      <c r="P23" s="6" t="s">
        <v>209</v>
      </c>
    </row>
    <row r="24" customFormat="false" ht="19.5" hidden="false" customHeight="true" outlineLevel="0" collapsed="false">
      <c r="A24" s="9" t="n">
        <v>2021</v>
      </c>
      <c r="B24" s="21" t="s">
        <v>210</v>
      </c>
      <c r="C24" s="10" t="s">
        <v>183</v>
      </c>
      <c r="D24" s="10" t="s">
        <v>178</v>
      </c>
      <c r="E24" s="12" t="n">
        <v>11</v>
      </c>
      <c r="F24" s="11" t="n">
        <v>7.06</v>
      </c>
      <c r="G24" s="11" t="n">
        <v>6.77</v>
      </c>
      <c r="H24" s="11" t="n">
        <v>1.28</v>
      </c>
      <c r="I24" s="11" t="n">
        <v>5.19</v>
      </c>
      <c r="J24" s="12" t="n">
        <v>243.12</v>
      </c>
      <c r="K24" s="11" t="n">
        <v>1.84</v>
      </c>
      <c r="L24" s="20" t="n">
        <v>7162</v>
      </c>
      <c r="M24" s="12" t="n">
        <v>0</v>
      </c>
      <c r="N24" s="12" t="n">
        <v>0</v>
      </c>
      <c r="O24" s="12" t="n">
        <v>0</v>
      </c>
      <c r="P24" s="10" t="s">
        <v>181</v>
      </c>
    </row>
    <row r="25" customFormat="false" ht="19.5" hidden="false" customHeight="true" outlineLevel="0" collapsed="false">
      <c r="A25" s="5" t="n">
        <v>2021</v>
      </c>
      <c r="B25" s="19" t="s">
        <v>211</v>
      </c>
      <c r="C25" s="6" t="s">
        <v>183</v>
      </c>
      <c r="D25" s="6" t="s">
        <v>178</v>
      </c>
      <c r="E25" s="8" t="n">
        <v>24</v>
      </c>
      <c r="F25" s="7" t="n">
        <v>7.04</v>
      </c>
      <c r="G25" s="7" t="n">
        <v>6.75</v>
      </c>
      <c r="H25" s="7" t="n">
        <v>1.18</v>
      </c>
      <c r="I25" s="7" t="n">
        <v>5.59</v>
      </c>
      <c r="J25" s="8" t="n">
        <v>254.45</v>
      </c>
      <c r="K25" s="7" t="n">
        <v>1.78</v>
      </c>
      <c r="L25" s="20" t="n">
        <v>12537</v>
      </c>
      <c r="M25" s="8" t="n">
        <v>0</v>
      </c>
      <c r="N25" s="8" t="n">
        <v>63</v>
      </c>
      <c r="O25" s="8" t="n">
        <v>0</v>
      </c>
      <c r="P25" s="6" t="s">
        <v>212</v>
      </c>
    </row>
    <row r="26" customFormat="false" ht="19.5" hidden="false" customHeight="true" outlineLevel="0" collapsed="false">
      <c r="A26" s="9" t="n">
        <v>2021</v>
      </c>
      <c r="B26" s="21" t="s">
        <v>213</v>
      </c>
      <c r="C26" s="10" t="s">
        <v>183</v>
      </c>
      <c r="D26" s="10" t="s">
        <v>178</v>
      </c>
      <c r="E26" s="12" t="n">
        <v>22</v>
      </c>
      <c r="F26" s="11" t="n">
        <v>7.07</v>
      </c>
      <c r="G26" s="11" t="n">
        <v>6.83</v>
      </c>
      <c r="H26" s="11" t="n">
        <v>1.3</v>
      </c>
      <c r="I26" s="11" t="n">
        <v>5.67</v>
      </c>
      <c r="J26" s="12" t="n">
        <v>245.74</v>
      </c>
      <c r="K26" s="11" t="n">
        <v>1.82</v>
      </c>
      <c r="L26" s="20" t="n">
        <v>1392</v>
      </c>
      <c r="M26" s="12" t="n">
        <v>0</v>
      </c>
      <c r="N26" s="12" t="n">
        <v>77</v>
      </c>
      <c r="O26" s="12" t="n">
        <v>0</v>
      </c>
      <c r="P26" s="10" t="s">
        <v>214</v>
      </c>
    </row>
    <row r="27" customFormat="false" ht="19.5" hidden="false" customHeight="true" outlineLevel="0" collapsed="false">
      <c r="A27" s="5" t="n">
        <v>2021</v>
      </c>
      <c r="B27" s="19" t="s">
        <v>215</v>
      </c>
      <c r="C27" s="6" t="s">
        <v>183</v>
      </c>
      <c r="D27" s="6" t="s">
        <v>178</v>
      </c>
      <c r="E27" s="8" t="n">
        <v>10</v>
      </c>
      <c r="F27" s="7" t="n">
        <v>7.03</v>
      </c>
      <c r="G27" s="7" t="n">
        <v>6.76</v>
      </c>
      <c r="H27" s="7" t="n">
        <v>1.2</v>
      </c>
      <c r="I27" s="7" t="n">
        <v>5.14</v>
      </c>
      <c r="J27" s="8" t="n">
        <v>247.83</v>
      </c>
      <c r="K27" s="7" t="n">
        <v>1.88</v>
      </c>
      <c r="L27" s="20" t="n">
        <v>4453</v>
      </c>
      <c r="M27" s="8" t="n">
        <v>0</v>
      </c>
      <c r="N27" s="8" t="n">
        <v>0</v>
      </c>
      <c r="O27" s="8" t="n">
        <v>0</v>
      </c>
      <c r="P27" s="6" t="s">
        <v>181</v>
      </c>
    </row>
    <row r="28" customFormat="false" ht="19.5" hidden="false" customHeight="true" outlineLevel="0" collapsed="false">
      <c r="A28" s="9" t="n">
        <v>2021</v>
      </c>
      <c r="B28" s="21" t="s">
        <v>49</v>
      </c>
      <c r="C28" s="10" t="s">
        <v>50</v>
      </c>
      <c r="D28" s="10" t="s">
        <v>178</v>
      </c>
      <c r="E28" s="12" t="n">
        <v>124</v>
      </c>
      <c r="F28" s="11" t="n">
        <v>7.06</v>
      </c>
      <c r="G28" s="11" t="n">
        <v>6.93</v>
      </c>
      <c r="H28" s="11" t="n">
        <v>1.27</v>
      </c>
      <c r="I28" s="11" t="n">
        <v>5.36</v>
      </c>
      <c r="J28" s="12" t="n">
        <v>246.14</v>
      </c>
      <c r="K28" s="11" t="n">
        <v>1.79</v>
      </c>
      <c r="L28" s="20" t="n">
        <v>61506</v>
      </c>
      <c r="M28" s="12" t="n">
        <v>0</v>
      </c>
      <c r="N28" s="12" t="n">
        <v>615</v>
      </c>
      <c r="O28" s="12" t="n">
        <v>0</v>
      </c>
      <c r="P28" s="10" t="s">
        <v>216</v>
      </c>
    </row>
    <row r="29" customFormat="false" ht="19.5" hidden="false" customHeight="true" outlineLevel="0" collapsed="false">
      <c r="A29" s="5" t="n">
        <v>2021</v>
      </c>
      <c r="B29" s="19" t="s">
        <v>217</v>
      </c>
      <c r="C29" s="6" t="s">
        <v>177</v>
      </c>
      <c r="D29" s="6" t="s">
        <v>178</v>
      </c>
      <c r="E29" s="8" t="n">
        <v>2</v>
      </c>
      <c r="F29" s="7" t="n">
        <v>7.06</v>
      </c>
      <c r="G29" s="7" t="n">
        <v>6.84</v>
      </c>
      <c r="H29" s="7" t="n">
        <v>1.27</v>
      </c>
      <c r="I29" s="7" t="n">
        <v>5.68</v>
      </c>
      <c r="J29" s="8" t="n">
        <v>242.65</v>
      </c>
      <c r="K29" s="7" t="n">
        <v>1.87</v>
      </c>
      <c r="L29" s="20" t="n">
        <v>0</v>
      </c>
      <c r="M29" s="8" t="n">
        <v>0</v>
      </c>
      <c r="N29" s="8" t="n">
        <v>0</v>
      </c>
      <c r="O29" s="8" t="n">
        <v>0</v>
      </c>
      <c r="P29" s="6" t="s">
        <v>181</v>
      </c>
    </row>
    <row r="30" customFormat="false" ht="19.5" hidden="false" customHeight="true" outlineLevel="0" collapsed="false">
      <c r="A30" s="9" t="n">
        <v>2021</v>
      </c>
      <c r="B30" s="21" t="s">
        <v>218</v>
      </c>
      <c r="C30" s="10" t="s">
        <v>39</v>
      </c>
      <c r="D30" s="10" t="s">
        <v>178</v>
      </c>
      <c r="E30" s="12" t="n">
        <v>27</v>
      </c>
      <c r="F30" s="11" t="n">
        <v>7.13</v>
      </c>
      <c r="G30" s="11" t="n">
        <v>6.6</v>
      </c>
      <c r="H30" s="11" t="n">
        <v>1.29</v>
      </c>
      <c r="I30" s="11" t="n">
        <v>5.48</v>
      </c>
      <c r="J30" s="12" t="n">
        <v>251.69</v>
      </c>
      <c r="K30" s="11" t="n">
        <v>1.78</v>
      </c>
      <c r="L30" s="20" t="n">
        <v>17309</v>
      </c>
      <c r="M30" s="12" t="n">
        <v>0</v>
      </c>
      <c r="N30" s="12" t="n">
        <v>212</v>
      </c>
      <c r="O30" s="12" t="n">
        <v>0</v>
      </c>
      <c r="P30" s="10" t="s">
        <v>219</v>
      </c>
    </row>
    <row r="31" customFormat="false" ht="19.5" hidden="false" customHeight="true" outlineLevel="0" collapsed="false">
      <c r="A31" s="5" t="n">
        <v>2021</v>
      </c>
      <c r="B31" s="19" t="s">
        <v>114</v>
      </c>
      <c r="C31" s="6" t="s">
        <v>192</v>
      </c>
      <c r="D31" s="6" t="s">
        <v>178</v>
      </c>
      <c r="E31" s="8" t="n">
        <v>64</v>
      </c>
      <c r="F31" s="7" t="n">
        <v>7.12</v>
      </c>
      <c r="G31" s="7" t="n">
        <v>6.77</v>
      </c>
      <c r="H31" s="7" t="n">
        <v>1.22</v>
      </c>
      <c r="I31" s="7" t="n">
        <v>5.4</v>
      </c>
      <c r="J31" s="8" t="n">
        <v>246.67</v>
      </c>
      <c r="K31" s="7" t="n">
        <v>1.86</v>
      </c>
      <c r="L31" s="20" t="n">
        <v>7459</v>
      </c>
      <c r="M31" s="8" t="n">
        <v>0</v>
      </c>
      <c r="N31" s="8" t="n">
        <v>938</v>
      </c>
      <c r="O31" s="8" t="n">
        <v>0</v>
      </c>
      <c r="P31" s="6" t="s">
        <v>220</v>
      </c>
    </row>
    <row r="32" customFormat="false" ht="19.5" hidden="false" customHeight="true" outlineLevel="0" collapsed="false">
      <c r="A32" s="9" t="n">
        <v>2021</v>
      </c>
      <c r="B32" s="21" t="s">
        <v>221</v>
      </c>
      <c r="C32" s="10" t="s">
        <v>183</v>
      </c>
      <c r="D32" s="10" t="s">
        <v>178</v>
      </c>
      <c r="E32" s="12" t="n">
        <v>2</v>
      </c>
      <c r="F32" s="11" t="n">
        <v>7.15</v>
      </c>
      <c r="G32" s="11" t="n">
        <v>6.6</v>
      </c>
      <c r="H32" s="11" t="n">
        <v>1.25</v>
      </c>
      <c r="I32" s="11" t="n">
        <v>5.36</v>
      </c>
      <c r="J32" s="12" t="n">
        <v>246.8</v>
      </c>
      <c r="K32" s="11" t="n">
        <v>1.75</v>
      </c>
      <c r="L32" s="20" t="n">
        <v>1659</v>
      </c>
      <c r="M32" s="12" t="n">
        <v>0</v>
      </c>
      <c r="N32" s="12" t="n">
        <v>1659</v>
      </c>
      <c r="O32" s="12" t="n">
        <v>0</v>
      </c>
      <c r="P32" s="10" t="s">
        <v>222</v>
      </c>
    </row>
    <row r="33" customFormat="false" ht="19.5" hidden="false" customHeight="true" outlineLevel="0" collapsed="false">
      <c r="A33" s="5" t="n">
        <v>2021</v>
      </c>
      <c r="B33" s="19" t="s">
        <v>148</v>
      </c>
      <c r="C33" s="6" t="s">
        <v>180</v>
      </c>
      <c r="D33" s="6" t="s">
        <v>178</v>
      </c>
      <c r="E33" s="8" t="n">
        <v>90</v>
      </c>
      <c r="F33" s="7" t="n">
        <v>7.15</v>
      </c>
      <c r="G33" s="7" t="n">
        <v>6.79</v>
      </c>
      <c r="H33" s="7" t="n">
        <v>1.25</v>
      </c>
      <c r="I33" s="7" t="n">
        <v>5.16</v>
      </c>
      <c r="J33" s="8" t="n">
        <v>251.59</v>
      </c>
      <c r="K33" s="7" t="n">
        <v>1.75</v>
      </c>
      <c r="L33" s="20" t="n">
        <v>209958</v>
      </c>
      <c r="M33" s="8" t="n">
        <v>0</v>
      </c>
      <c r="N33" s="8" t="n">
        <v>42</v>
      </c>
      <c r="O33" s="8" t="n">
        <v>0</v>
      </c>
      <c r="P33" s="6" t="s">
        <v>186</v>
      </c>
    </row>
    <row r="34" customFormat="false" ht="19.5" hidden="false" customHeight="true" outlineLevel="0" collapsed="false">
      <c r="A34" s="9" t="n">
        <v>2021</v>
      </c>
      <c r="B34" s="21" t="s">
        <v>108</v>
      </c>
      <c r="C34" s="10" t="s">
        <v>180</v>
      </c>
      <c r="D34" s="10" t="s">
        <v>178</v>
      </c>
      <c r="E34" s="12" t="n">
        <v>95</v>
      </c>
      <c r="F34" s="11" t="n">
        <v>7.16</v>
      </c>
      <c r="G34" s="11" t="n">
        <v>6.79</v>
      </c>
      <c r="H34" s="11" t="n">
        <v>1.17</v>
      </c>
      <c r="I34" s="11" t="n">
        <v>5.5</v>
      </c>
      <c r="J34" s="12" t="n">
        <v>249.98</v>
      </c>
      <c r="K34" s="11" t="n">
        <v>1.89</v>
      </c>
      <c r="L34" s="20" t="n">
        <v>82209</v>
      </c>
      <c r="M34" s="12" t="n">
        <v>0</v>
      </c>
      <c r="N34" s="12" t="n">
        <v>0</v>
      </c>
      <c r="O34" s="12" t="n">
        <v>0</v>
      </c>
      <c r="P34" s="10" t="s">
        <v>181</v>
      </c>
    </row>
    <row r="35" customFormat="false" ht="19.5" hidden="false" customHeight="true" outlineLevel="0" collapsed="false">
      <c r="A35" s="5" t="n">
        <v>2021</v>
      </c>
      <c r="B35" s="19" t="s">
        <v>223</v>
      </c>
      <c r="C35" s="6" t="s">
        <v>183</v>
      </c>
      <c r="D35" s="6" t="s">
        <v>178</v>
      </c>
      <c r="E35" s="8" t="n">
        <v>17</v>
      </c>
      <c r="F35" s="7" t="n">
        <v>7.07</v>
      </c>
      <c r="G35" s="7" t="n">
        <v>6.92</v>
      </c>
      <c r="H35" s="7" t="n">
        <v>1.22</v>
      </c>
      <c r="I35" s="7" t="n">
        <v>5.38</v>
      </c>
      <c r="J35" s="8" t="n">
        <v>247.07</v>
      </c>
      <c r="K35" s="7" t="n">
        <v>1.75</v>
      </c>
      <c r="L35" s="20" t="n">
        <v>12713</v>
      </c>
      <c r="M35" s="8" t="n">
        <v>0</v>
      </c>
      <c r="N35" s="8" t="n">
        <v>14</v>
      </c>
      <c r="O35" s="8" t="n">
        <v>0</v>
      </c>
      <c r="P35" s="6" t="s">
        <v>224</v>
      </c>
    </row>
    <row r="36" customFormat="false" ht="19.5" hidden="false" customHeight="true" outlineLevel="0" collapsed="false">
      <c r="A36" s="9" t="n">
        <v>2021</v>
      </c>
      <c r="B36" s="21" t="s">
        <v>67</v>
      </c>
      <c r="C36" s="10" t="s">
        <v>39</v>
      </c>
      <c r="D36" s="10" t="s">
        <v>178</v>
      </c>
      <c r="E36" s="12" t="n">
        <v>113</v>
      </c>
      <c r="F36" s="11" t="n">
        <v>7.3</v>
      </c>
      <c r="G36" s="11" t="n">
        <v>6.63</v>
      </c>
      <c r="H36" s="11" t="n">
        <v>1.92</v>
      </c>
      <c r="I36" s="11" t="n">
        <v>10.85</v>
      </c>
      <c r="J36" s="12" t="n">
        <v>374.69</v>
      </c>
      <c r="K36" s="11" t="n">
        <v>2.59</v>
      </c>
      <c r="L36" s="20" t="n">
        <v>97019</v>
      </c>
      <c r="M36" s="12" t="n">
        <v>0</v>
      </c>
      <c r="N36" s="12" t="n">
        <v>812</v>
      </c>
      <c r="O36" s="12" t="n">
        <v>0</v>
      </c>
      <c r="P36" s="10" t="s">
        <v>225</v>
      </c>
    </row>
    <row r="37" customFormat="false" ht="19.5" hidden="false" customHeight="true" outlineLevel="0" collapsed="false">
      <c r="A37" s="5" t="n">
        <v>2021</v>
      </c>
      <c r="B37" s="19" t="s">
        <v>62</v>
      </c>
      <c r="C37" s="6" t="s">
        <v>39</v>
      </c>
      <c r="D37" s="6" t="s">
        <v>178</v>
      </c>
      <c r="E37" s="8" t="n">
        <v>23</v>
      </c>
      <c r="F37" s="7" t="n">
        <v>7.05</v>
      </c>
      <c r="G37" s="7" t="n">
        <v>6.67</v>
      </c>
      <c r="H37" s="7" t="n">
        <v>1.28</v>
      </c>
      <c r="I37" s="7" t="n">
        <v>5.32</v>
      </c>
      <c r="J37" s="8" t="n">
        <v>250.84</v>
      </c>
      <c r="K37" s="7" t="n">
        <v>1.72</v>
      </c>
      <c r="L37" s="20" t="n">
        <v>31253</v>
      </c>
      <c r="M37" s="8" t="n">
        <v>0</v>
      </c>
      <c r="N37" s="8" t="n">
        <v>354</v>
      </c>
      <c r="O37" s="8" t="n">
        <v>0</v>
      </c>
      <c r="P37" s="6" t="s">
        <v>226</v>
      </c>
    </row>
    <row r="38" customFormat="false" ht="19.5" hidden="false" customHeight="true" outlineLevel="0" collapsed="false">
      <c r="A38" s="9" t="n">
        <v>2021</v>
      </c>
      <c r="B38" s="21" t="s">
        <v>73</v>
      </c>
      <c r="C38" s="10" t="s">
        <v>50</v>
      </c>
      <c r="D38" s="10" t="s">
        <v>178</v>
      </c>
      <c r="E38" s="12" t="n">
        <v>199</v>
      </c>
      <c r="F38" s="11" t="n">
        <v>7.07</v>
      </c>
      <c r="G38" s="11" t="n">
        <v>6.72</v>
      </c>
      <c r="H38" s="11" t="n">
        <v>1.23</v>
      </c>
      <c r="I38" s="11" t="n">
        <v>5.56</v>
      </c>
      <c r="J38" s="12" t="n">
        <v>251.08</v>
      </c>
      <c r="K38" s="11" t="n">
        <v>1.74</v>
      </c>
      <c r="L38" s="20" t="n">
        <v>32979</v>
      </c>
      <c r="M38" s="12" t="n">
        <v>0</v>
      </c>
      <c r="N38" s="12" t="n">
        <v>9329</v>
      </c>
      <c r="O38" s="12" t="n">
        <v>0</v>
      </c>
      <c r="P38" s="10" t="s">
        <v>227</v>
      </c>
    </row>
    <row r="39" customFormat="false" ht="21.75" hidden="false" customHeight="true" outlineLevel="0" collapsed="false">
      <c r="A39" s="13" t="n">
        <v>2022</v>
      </c>
      <c r="B39" s="6" t="s">
        <v>176</v>
      </c>
      <c r="C39" s="13" t="s">
        <v>177</v>
      </c>
      <c r="D39" s="13" t="s">
        <v>178</v>
      </c>
      <c r="E39" s="15" t="n">
        <v>9</v>
      </c>
      <c r="F39" s="14" t="n">
        <v>7.14</v>
      </c>
      <c r="G39" s="14" t="n">
        <v>6.71</v>
      </c>
      <c r="H39" s="14" t="n">
        <v>1.2</v>
      </c>
      <c r="I39" s="14" t="n">
        <v>5.39</v>
      </c>
      <c r="J39" s="15" t="n">
        <v>244.89</v>
      </c>
      <c r="K39" s="14" t="n">
        <v>1.78</v>
      </c>
      <c r="L39" s="22" t="n">
        <v>399</v>
      </c>
      <c r="M39" s="15" t="n">
        <v>0</v>
      </c>
      <c r="N39" s="15" t="n">
        <v>1</v>
      </c>
      <c r="O39" s="15" t="n">
        <v>0</v>
      </c>
      <c r="P39" s="13" t="s">
        <v>179</v>
      </c>
    </row>
    <row r="40" customFormat="false" ht="15.75" hidden="false" customHeight="true" outlineLevel="0" collapsed="false">
      <c r="A40" s="16" t="n">
        <v>2022</v>
      </c>
      <c r="B40" s="16" t="s">
        <v>13</v>
      </c>
      <c r="C40" s="16" t="s">
        <v>180</v>
      </c>
      <c r="D40" s="16" t="s">
        <v>178</v>
      </c>
      <c r="E40" s="18" t="n">
        <v>120</v>
      </c>
      <c r="F40" s="17" t="n">
        <v>7.06</v>
      </c>
      <c r="G40" s="17" t="n">
        <v>6.73</v>
      </c>
      <c r="H40" s="17" t="n">
        <v>1.28</v>
      </c>
      <c r="I40" s="17" t="n">
        <v>5.31</v>
      </c>
      <c r="J40" s="18" t="n">
        <v>247.64</v>
      </c>
      <c r="K40" s="17" t="n">
        <v>1.88</v>
      </c>
      <c r="L40" s="22" t="n">
        <v>54163</v>
      </c>
      <c r="M40" s="18" t="n">
        <v>0</v>
      </c>
      <c r="N40" s="18" t="n">
        <v>0</v>
      </c>
      <c r="O40" s="18" t="n">
        <v>0</v>
      </c>
      <c r="P40" s="16" t="s">
        <v>181</v>
      </c>
    </row>
    <row r="41" customFormat="false" ht="15.75" hidden="false" customHeight="true" outlineLevel="0" collapsed="false">
      <c r="A41" s="13" t="n">
        <v>2022</v>
      </c>
      <c r="B41" s="13" t="s">
        <v>182</v>
      </c>
      <c r="C41" s="13" t="s">
        <v>183</v>
      </c>
      <c r="D41" s="13" t="s">
        <v>178</v>
      </c>
      <c r="E41" s="15" t="n">
        <v>33</v>
      </c>
      <c r="F41" s="14" t="n">
        <v>7.04</v>
      </c>
      <c r="G41" s="14" t="n">
        <v>6.95</v>
      </c>
      <c r="H41" s="14" t="n">
        <v>1.24</v>
      </c>
      <c r="I41" s="14" t="n">
        <v>5.6</v>
      </c>
      <c r="J41" s="15" t="n">
        <v>242.8</v>
      </c>
      <c r="K41" s="14" t="n">
        <v>1.88</v>
      </c>
      <c r="L41" s="22" t="n">
        <v>20847</v>
      </c>
      <c r="M41" s="15" t="n">
        <v>0</v>
      </c>
      <c r="N41" s="15" t="n">
        <v>0</v>
      </c>
      <c r="O41" s="15" t="n">
        <v>0</v>
      </c>
      <c r="P41" s="13" t="s">
        <v>181</v>
      </c>
    </row>
    <row r="42" customFormat="false" ht="15.75" hidden="false" customHeight="true" outlineLevel="0" collapsed="false">
      <c r="A42" s="16" t="n">
        <v>2022</v>
      </c>
      <c r="B42" s="16" t="s">
        <v>184</v>
      </c>
      <c r="C42" s="16" t="s">
        <v>183</v>
      </c>
      <c r="D42" s="16" t="s">
        <v>178</v>
      </c>
      <c r="E42" s="18" t="n">
        <v>71</v>
      </c>
      <c r="F42" s="17" t="n">
        <v>7.17</v>
      </c>
      <c r="G42" s="17" t="n">
        <v>6.88</v>
      </c>
      <c r="H42" s="17" t="n">
        <v>1.22</v>
      </c>
      <c r="I42" s="17" t="n">
        <v>5.32</v>
      </c>
      <c r="J42" s="18" t="n">
        <v>255.03</v>
      </c>
      <c r="K42" s="17" t="n">
        <v>1.87</v>
      </c>
      <c r="L42" s="22" t="n">
        <v>44577</v>
      </c>
      <c r="M42" s="18" t="n">
        <v>0</v>
      </c>
      <c r="N42" s="18" t="n">
        <v>423</v>
      </c>
      <c r="O42" s="18" t="n">
        <v>0</v>
      </c>
      <c r="P42" s="16" t="s">
        <v>228</v>
      </c>
    </row>
    <row r="43" customFormat="false" ht="15.75" hidden="false" customHeight="true" outlineLevel="0" collapsed="false">
      <c r="A43" s="13" t="n">
        <v>2022</v>
      </c>
      <c r="B43" s="13" t="s">
        <v>69</v>
      </c>
      <c r="C43" s="13" t="s">
        <v>50</v>
      </c>
      <c r="D43" s="13" t="s">
        <v>178</v>
      </c>
      <c r="E43" s="15" t="n">
        <v>103</v>
      </c>
      <c r="F43" s="14" t="n">
        <v>7.44</v>
      </c>
      <c r="G43" s="14" t="n">
        <v>5.53</v>
      </c>
      <c r="H43" s="14" t="n">
        <v>2.52</v>
      </c>
      <c r="I43" s="14" t="n">
        <v>12.56</v>
      </c>
      <c r="J43" s="15" t="n">
        <v>135.86</v>
      </c>
      <c r="K43" s="14" t="n">
        <v>169.03</v>
      </c>
      <c r="L43" s="22" t="n">
        <v>49990</v>
      </c>
      <c r="M43" s="15" t="n">
        <v>0</v>
      </c>
      <c r="N43" s="15" t="n">
        <v>10</v>
      </c>
      <c r="O43" s="15" t="n">
        <v>0</v>
      </c>
      <c r="P43" s="13" t="s">
        <v>186</v>
      </c>
    </row>
    <row r="44" customFormat="false" ht="15.75" hidden="false" customHeight="true" outlineLevel="0" collapsed="false">
      <c r="A44" s="16" t="n">
        <v>2022</v>
      </c>
      <c r="B44" s="16" t="s">
        <v>187</v>
      </c>
      <c r="C44" s="16" t="s">
        <v>188</v>
      </c>
      <c r="D44" s="16" t="s">
        <v>178</v>
      </c>
      <c r="E44" s="18" t="n">
        <v>66</v>
      </c>
      <c r="F44" s="17" t="n">
        <v>7.1</v>
      </c>
      <c r="G44" s="17" t="n">
        <v>6.69</v>
      </c>
      <c r="H44" s="17" t="n">
        <v>1.17</v>
      </c>
      <c r="I44" s="17" t="n">
        <v>5.72</v>
      </c>
      <c r="J44" s="18" t="n">
        <v>247.75</v>
      </c>
      <c r="K44" s="17" t="n">
        <v>1.72</v>
      </c>
      <c r="L44" s="22" t="n">
        <v>31407</v>
      </c>
      <c r="M44" s="18" t="n">
        <v>0</v>
      </c>
      <c r="N44" s="18" t="n">
        <v>22</v>
      </c>
      <c r="O44" s="18" t="n">
        <v>0</v>
      </c>
      <c r="P44" s="16" t="s">
        <v>198</v>
      </c>
    </row>
    <row r="45" customFormat="false" ht="15.75" hidden="false" customHeight="true" outlineLevel="0" collapsed="false">
      <c r="A45" s="13" t="n">
        <v>2022</v>
      </c>
      <c r="B45" s="13" t="s">
        <v>190</v>
      </c>
      <c r="C45" s="13" t="s">
        <v>177</v>
      </c>
      <c r="D45" s="13" t="s">
        <v>178</v>
      </c>
      <c r="E45" s="15" t="n">
        <v>2</v>
      </c>
      <c r="F45" s="14" t="n">
        <v>7.09</v>
      </c>
      <c r="G45" s="14" t="n">
        <v>6.75</v>
      </c>
      <c r="H45" s="14" t="n">
        <v>1.2</v>
      </c>
      <c r="I45" s="14" t="n">
        <v>5.83</v>
      </c>
      <c r="J45" s="15" t="n">
        <v>251.09</v>
      </c>
      <c r="K45" s="14" t="n">
        <v>1.87</v>
      </c>
      <c r="L45" s="22" t="n">
        <v>0</v>
      </c>
      <c r="M45" s="15" t="n">
        <v>0</v>
      </c>
      <c r="N45" s="15" t="n">
        <v>0</v>
      </c>
      <c r="O45" s="15" t="n">
        <v>0</v>
      </c>
      <c r="P45" s="13" t="s">
        <v>181</v>
      </c>
    </row>
    <row r="46" customFormat="false" ht="15.75" hidden="false" customHeight="true" outlineLevel="0" collapsed="false">
      <c r="A46" s="16" t="n">
        <v>2022</v>
      </c>
      <c r="B46" s="16" t="s">
        <v>191</v>
      </c>
      <c r="C46" s="16" t="s">
        <v>192</v>
      </c>
      <c r="D46" s="16" t="s">
        <v>178</v>
      </c>
      <c r="E46" s="18" t="n">
        <v>21</v>
      </c>
      <c r="F46" s="17" t="n">
        <v>7.12</v>
      </c>
      <c r="G46" s="17" t="n">
        <v>6.94</v>
      </c>
      <c r="H46" s="17" t="n">
        <v>1.29</v>
      </c>
      <c r="I46" s="17" t="n">
        <v>5.66</v>
      </c>
      <c r="J46" s="18" t="n">
        <v>244.67</v>
      </c>
      <c r="K46" s="17" t="n">
        <v>1.73</v>
      </c>
      <c r="L46" s="22" t="n">
        <v>641</v>
      </c>
      <c r="M46" s="18" t="n">
        <v>0</v>
      </c>
      <c r="N46" s="18" t="n">
        <v>4</v>
      </c>
      <c r="O46" s="18" t="n">
        <v>0</v>
      </c>
      <c r="P46" s="16" t="s">
        <v>229</v>
      </c>
    </row>
    <row r="47" customFormat="false" ht="15.75" hidden="false" customHeight="true" outlineLevel="0" collapsed="false">
      <c r="A47" s="13" t="n">
        <v>2022</v>
      </c>
      <c r="B47" s="13" t="s">
        <v>194</v>
      </c>
      <c r="C47" s="13" t="s">
        <v>192</v>
      </c>
      <c r="D47" s="13" t="s">
        <v>178</v>
      </c>
      <c r="E47" s="15" t="n">
        <v>347</v>
      </c>
      <c r="F47" s="14" t="n">
        <v>7.15</v>
      </c>
      <c r="G47" s="14" t="n">
        <v>6.78</v>
      </c>
      <c r="H47" s="14" t="n">
        <v>1.26</v>
      </c>
      <c r="I47" s="14" t="n">
        <v>5.81</v>
      </c>
      <c r="J47" s="15" t="n">
        <v>244.15</v>
      </c>
      <c r="K47" s="14" t="n">
        <v>1.77</v>
      </c>
      <c r="L47" s="22" t="n">
        <v>120637</v>
      </c>
      <c r="M47" s="15" t="n">
        <v>0</v>
      </c>
      <c r="N47" s="15" t="n">
        <v>363</v>
      </c>
      <c r="O47" s="15" t="n">
        <v>0</v>
      </c>
      <c r="P47" s="13" t="s">
        <v>230</v>
      </c>
    </row>
    <row r="48" customFormat="false" ht="15.75" hidden="false" customHeight="true" outlineLevel="0" collapsed="false">
      <c r="A48" s="16" t="n">
        <v>2022</v>
      </c>
      <c r="B48" s="16" t="s">
        <v>38</v>
      </c>
      <c r="C48" s="16" t="s">
        <v>39</v>
      </c>
      <c r="D48" s="16" t="s">
        <v>178</v>
      </c>
      <c r="E48" s="18" t="n">
        <v>38</v>
      </c>
      <c r="F48" s="17" t="n">
        <v>7.09</v>
      </c>
      <c r="G48" s="17" t="n">
        <v>6.83</v>
      </c>
      <c r="H48" s="17" t="n">
        <v>1.26</v>
      </c>
      <c r="I48" s="17" t="n">
        <v>5.37</v>
      </c>
      <c r="J48" s="18" t="n">
        <v>247.29</v>
      </c>
      <c r="K48" s="17" t="n">
        <v>1.84</v>
      </c>
      <c r="L48" s="22" t="n">
        <v>16998</v>
      </c>
      <c r="M48" s="18" t="n">
        <v>0</v>
      </c>
      <c r="N48" s="18" t="n">
        <v>1714</v>
      </c>
      <c r="O48" s="18" t="n">
        <v>0</v>
      </c>
      <c r="P48" s="16" t="s">
        <v>231</v>
      </c>
    </row>
    <row r="49" customFormat="false" ht="15.75" hidden="false" customHeight="true" outlineLevel="0" collapsed="false">
      <c r="A49" s="13" t="n">
        <v>2022</v>
      </c>
      <c r="B49" s="13" t="s">
        <v>197</v>
      </c>
      <c r="C49" s="13" t="s">
        <v>39</v>
      </c>
      <c r="D49" s="13" t="s">
        <v>178</v>
      </c>
      <c r="E49" s="15" t="n">
        <v>71</v>
      </c>
      <c r="F49" s="14" t="n">
        <v>7.14</v>
      </c>
      <c r="G49" s="14" t="n">
        <v>6.86</v>
      </c>
      <c r="H49" s="14" t="n">
        <v>1.24</v>
      </c>
      <c r="I49" s="14" t="n">
        <v>5.22</v>
      </c>
      <c r="J49" s="15" t="n">
        <v>246.22</v>
      </c>
      <c r="K49" s="14" t="n">
        <v>1.86</v>
      </c>
      <c r="L49" s="22" t="n">
        <v>33144</v>
      </c>
      <c r="M49" s="15" t="n">
        <v>0</v>
      </c>
      <c r="N49" s="15" t="n">
        <v>0</v>
      </c>
      <c r="O49" s="15" t="n">
        <v>0</v>
      </c>
      <c r="P49" s="13" t="s">
        <v>181</v>
      </c>
    </row>
    <row r="50" customFormat="false" ht="15.75" hidden="false" customHeight="true" outlineLevel="0" collapsed="false">
      <c r="A50" s="16" t="n">
        <v>2022</v>
      </c>
      <c r="B50" s="16" t="s">
        <v>141</v>
      </c>
      <c r="C50" s="16" t="s">
        <v>39</v>
      </c>
      <c r="D50" s="16" t="s">
        <v>178</v>
      </c>
      <c r="E50" s="18" t="n">
        <v>86</v>
      </c>
      <c r="F50" s="17" t="n">
        <v>7.11</v>
      </c>
      <c r="G50" s="17" t="n">
        <v>6.61</v>
      </c>
      <c r="H50" s="17" t="n">
        <v>1.15</v>
      </c>
      <c r="I50" s="17" t="n">
        <v>5.2</v>
      </c>
      <c r="J50" s="18" t="n">
        <v>256.79</v>
      </c>
      <c r="K50" s="17" t="n">
        <v>1.78</v>
      </c>
      <c r="L50" s="22" t="n">
        <v>74377</v>
      </c>
      <c r="M50" s="18" t="n">
        <v>0</v>
      </c>
      <c r="N50" s="18" t="n">
        <v>67</v>
      </c>
      <c r="O50" s="18" t="n">
        <v>0</v>
      </c>
      <c r="P50" s="16" t="s">
        <v>189</v>
      </c>
    </row>
    <row r="51" customFormat="false" ht="15.75" hidden="false" customHeight="true" outlineLevel="0" collapsed="false">
      <c r="A51" s="13" t="n">
        <v>2022</v>
      </c>
      <c r="B51" s="13" t="s">
        <v>71</v>
      </c>
      <c r="C51" s="13" t="s">
        <v>50</v>
      </c>
      <c r="D51" s="13" t="s">
        <v>178</v>
      </c>
      <c r="E51" s="15" t="n">
        <v>33</v>
      </c>
      <c r="F51" s="14" t="n">
        <v>7.07</v>
      </c>
      <c r="G51" s="14" t="n">
        <v>6.65</v>
      </c>
      <c r="H51" s="14" t="n">
        <v>1.17</v>
      </c>
      <c r="I51" s="14" t="n">
        <v>5.15</v>
      </c>
      <c r="J51" s="15" t="n">
        <v>244.57</v>
      </c>
      <c r="K51" s="14" t="n">
        <v>1.83</v>
      </c>
      <c r="L51" s="22" t="n">
        <v>59988</v>
      </c>
      <c r="M51" s="15" t="n">
        <v>0</v>
      </c>
      <c r="N51" s="15" t="n">
        <v>12</v>
      </c>
      <c r="O51" s="15" t="n">
        <v>0</v>
      </c>
      <c r="P51" s="13" t="s">
        <v>186</v>
      </c>
    </row>
    <row r="52" customFormat="false" ht="15.75" hidden="false" customHeight="true" outlineLevel="0" collapsed="false">
      <c r="A52" s="16" t="n">
        <v>2022</v>
      </c>
      <c r="B52" s="16" t="s">
        <v>111</v>
      </c>
      <c r="C52" s="16" t="s">
        <v>180</v>
      </c>
      <c r="D52" s="16" t="s">
        <v>178</v>
      </c>
      <c r="E52" s="18" t="n">
        <v>90</v>
      </c>
      <c r="F52" s="17" t="n">
        <v>7.15</v>
      </c>
      <c r="G52" s="17" t="n">
        <v>6.95</v>
      </c>
      <c r="H52" s="17" t="n">
        <v>1.26</v>
      </c>
      <c r="I52" s="17" t="n">
        <v>5.5</v>
      </c>
      <c r="J52" s="18" t="n">
        <v>257.04</v>
      </c>
      <c r="K52" s="17" t="n">
        <v>1.89</v>
      </c>
      <c r="L52" s="22" t="n">
        <v>80244</v>
      </c>
      <c r="M52" s="18" t="n">
        <v>0</v>
      </c>
      <c r="N52" s="18" t="n">
        <v>3300</v>
      </c>
      <c r="O52" s="18" t="n">
        <v>0</v>
      </c>
      <c r="P52" s="16" t="s">
        <v>232</v>
      </c>
    </row>
    <row r="53" customFormat="false" ht="15.75" hidden="false" customHeight="true" outlineLevel="0" collapsed="false">
      <c r="A53" s="13" t="n">
        <v>2022</v>
      </c>
      <c r="B53" s="13" t="s">
        <v>200</v>
      </c>
      <c r="C53" s="13" t="s">
        <v>180</v>
      </c>
      <c r="D53" s="13" t="s">
        <v>178</v>
      </c>
      <c r="E53" s="15" t="n">
        <v>83</v>
      </c>
      <c r="F53" s="14" t="n">
        <v>7.16</v>
      </c>
      <c r="G53" s="14" t="n">
        <v>6.81</v>
      </c>
      <c r="H53" s="14" t="n">
        <v>1.23</v>
      </c>
      <c r="I53" s="14" t="n">
        <v>5.83</v>
      </c>
      <c r="J53" s="15" t="n">
        <v>244.25</v>
      </c>
      <c r="K53" s="14" t="n">
        <v>1.87</v>
      </c>
      <c r="L53" s="22" t="n">
        <v>64341</v>
      </c>
      <c r="M53" s="15" t="n">
        <v>0</v>
      </c>
      <c r="N53" s="15" t="n">
        <v>7661</v>
      </c>
      <c r="O53" s="15" t="n">
        <v>0</v>
      </c>
      <c r="P53" s="13" t="s">
        <v>233</v>
      </c>
    </row>
    <row r="54" customFormat="false" ht="15.75" hidden="false" customHeight="true" outlineLevel="0" collapsed="false">
      <c r="A54" s="16" t="n">
        <v>2022</v>
      </c>
      <c r="B54" s="16" t="s">
        <v>202</v>
      </c>
      <c r="C54" s="16" t="s">
        <v>177</v>
      </c>
      <c r="D54" s="16" t="s">
        <v>178</v>
      </c>
      <c r="E54" s="18" t="n">
        <v>8</v>
      </c>
      <c r="F54" s="17" t="n">
        <v>7.11</v>
      </c>
      <c r="G54" s="17" t="n">
        <v>6.87</v>
      </c>
      <c r="H54" s="17" t="n">
        <v>1.22</v>
      </c>
      <c r="I54" s="17" t="n">
        <v>5.83</v>
      </c>
      <c r="J54" s="18" t="n">
        <v>252.95</v>
      </c>
      <c r="K54" s="17" t="n">
        <v>1.84</v>
      </c>
      <c r="L54" s="22" t="n">
        <v>573</v>
      </c>
      <c r="M54" s="18" t="n">
        <v>0</v>
      </c>
      <c r="N54" s="18" t="n">
        <v>12</v>
      </c>
      <c r="O54" s="18" t="n">
        <v>0</v>
      </c>
      <c r="P54" s="16" t="s">
        <v>234</v>
      </c>
    </row>
    <row r="55" customFormat="false" ht="15.75" hidden="false" customHeight="true" outlineLevel="0" collapsed="false">
      <c r="A55" s="13" t="n">
        <v>2022</v>
      </c>
      <c r="B55" s="13" t="s">
        <v>204</v>
      </c>
      <c r="C55" s="13" t="s">
        <v>177</v>
      </c>
      <c r="D55" s="13" t="s">
        <v>178</v>
      </c>
      <c r="E55" s="15" t="n">
        <v>8</v>
      </c>
      <c r="F55" s="14" t="n">
        <v>7.06</v>
      </c>
      <c r="G55" s="14" t="n">
        <v>6.85</v>
      </c>
      <c r="H55" s="14" t="n">
        <v>1.21</v>
      </c>
      <c r="I55" s="14" t="n">
        <v>5.56</v>
      </c>
      <c r="J55" s="15" t="n">
        <v>255.48</v>
      </c>
      <c r="K55" s="14" t="n">
        <v>1.72</v>
      </c>
      <c r="L55" s="22" t="n">
        <v>1249</v>
      </c>
      <c r="M55" s="15" t="n">
        <v>0</v>
      </c>
      <c r="N55" s="15" t="n">
        <v>1</v>
      </c>
      <c r="O55" s="15" t="n">
        <v>0</v>
      </c>
      <c r="P55" s="13" t="s">
        <v>205</v>
      </c>
    </row>
    <row r="56" customFormat="false" ht="15.75" hidden="false" customHeight="true" outlineLevel="0" collapsed="false">
      <c r="A56" s="16" t="n">
        <v>2022</v>
      </c>
      <c r="B56" s="16" t="s">
        <v>206</v>
      </c>
      <c r="C56" s="16" t="s">
        <v>188</v>
      </c>
      <c r="D56" s="16" t="s">
        <v>178</v>
      </c>
      <c r="E56" s="18" t="n">
        <v>158</v>
      </c>
      <c r="F56" s="17" t="n">
        <v>7.05</v>
      </c>
      <c r="G56" s="17" t="n">
        <v>6.91</v>
      </c>
      <c r="H56" s="17" t="n">
        <v>1.23</v>
      </c>
      <c r="I56" s="17" t="n">
        <v>5.65</v>
      </c>
      <c r="J56" s="18" t="n">
        <v>256.51</v>
      </c>
      <c r="K56" s="17" t="n">
        <v>1.76</v>
      </c>
      <c r="L56" s="22" t="n">
        <v>143290</v>
      </c>
      <c r="M56" s="18" t="n">
        <v>0</v>
      </c>
      <c r="N56" s="18" t="n">
        <v>43</v>
      </c>
      <c r="O56" s="18" t="n">
        <v>0</v>
      </c>
      <c r="P56" s="16" t="s">
        <v>207</v>
      </c>
    </row>
    <row r="57" customFormat="false" ht="15.75" hidden="false" customHeight="true" outlineLevel="0" collapsed="false">
      <c r="A57" s="13" t="n">
        <v>2022</v>
      </c>
      <c r="B57" s="13" t="s">
        <v>208</v>
      </c>
      <c r="C57" s="13" t="s">
        <v>192</v>
      </c>
      <c r="D57" s="13" t="s">
        <v>178</v>
      </c>
      <c r="E57" s="15" t="n">
        <v>197</v>
      </c>
      <c r="F57" s="14" t="n">
        <v>7.23</v>
      </c>
      <c r="G57" s="14" t="n">
        <v>7.3</v>
      </c>
      <c r="H57" s="14" t="n">
        <v>1.57</v>
      </c>
      <c r="I57" s="14" t="n">
        <v>7.81</v>
      </c>
      <c r="J57" s="15" t="n">
        <v>324.56</v>
      </c>
      <c r="K57" s="14" t="n">
        <v>2.04</v>
      </c>
      <c r="L57" s="22" t="n">
        <v>169202</v>
      </c>
      <c r="M57" s="15" t="n">
        <v>0</v>
      </c>
      <c r="N57" s="15" t="n">
        <v>6940</v>
      </c>
      <c r="O57" s="15" t="n">
        <v>0</v>
      </c>
      <c r="P57" s="13" t="s">
        <v>235</v>
      </c>
    </row>
    <row r="58" customFormat="false" ht="15.75" hidden="false" customHeight="true" outlineLevel="0" collapsed="false">
      <c r="A58" s="16" t="n">
        <v>2022</v>
      </c>
      <c r="B58" s="16" t="s">
        <v>210</v>
      </c>
      <c r="C58" s="16" t="s">
        <v>183</v>
      </c>
      <c r="D58" s="16" t="s">
        <v>178</v>
      </c>
      <c r="E58" s="18" t="n">
        <v>12</v>
      </c>
      <c r="F58" s="17" t="n">
        <v>7.05</v>
      </c>
      <c r="G58" s="17" t="n">
        <v>6.99</v>
      </c>
      <c r="H58" s="17" t="n">
        <v>1.21</v>
      </c>
      <c r="I58" s="17" t="n">
        <v>5.39</v>
      </c>
      <c r="J58" s="18" t="n">
        <v>247.97</v>
      </c>
      <c r="K58" s="17" t="n">
        <v>1.76</v>
      </c>
      <c r="L58" s="22" t="n">
        <v>8662</v>
      </c>
      <c r="M58" s="18" t="n">
        <v>0</v>
      </c>
      <c r="N58" s="18" t="n">
        <v>0</v>
      </c>
      <c r="O58" s="18" t="n">
        <v>0</v>
      </c>
      <c r="P58" s="16" t="s">
        <v>181</v>
      </c>
    </row>
    <row r="59" customFormat="false" ht="15.75" hidden="false" customHeight="true" outlineLevel="0" collapsed="false">
      <c r="A59" s="13" t="n">
        <v>2022</v>
      </c>
      <c r="B59" s="13" t="s">
        <v>211</v>
      </c>
      <c r="C59" s="13" t="s">
        <v>183</v>
      </c>
      <c r="D59" s="13" t="s">
        <v>178</v>
      </c>
      <c r="E59" s="15" t="n">
        <v>25</v>
      </c>
      <c r="F59" s="14" t="n">
        <v>7.03</v>
      </c>
      <c r="G59" s="14" t="n">
        <v>6.94</v>
      </c>
      <c r="H59" s="14" t="n">
        <v>1.19</v>
      </c>
      <c r="I59" s="14" t="n">
        <v>5.62</v>
      </c>
      <c r="J59" s="15" t="n">
        <v>246.56</v>
      </c>
      <c r="K59" s="14" t="n">
        <v>1.75</v>
      </c>
      <c r="L59" s="22" t="n">
        <v>18424</v>
      </c>
      <c r="M59" s="15" t="n">
        <v>0</v>
      </c>
      <c r="N59" s="15" t="n">
        <v>87</v>
      </c>
      <c r="O59" s="15" t="n">
        <v>0</v>
      </c>
      <c r="P59" s="13" t="s">
        <v>236</v>
      </c>
    </row>
    <row r="60" customFormat="false" ht="15.75" hidden="false" customHeight="true" outlineLevel="0" collapsed="false">
      <c r="A60" s="16" t="n">
        <v>2022</v>
      </c>
      <c r="B60" s="16" t="s">
        <v>213</v>
      </c>
      <c r="C60" s="16" t="s">
        <v>183</v>
      </c>
      <c r="D60" s="16" t="s">
        <v>178</v>
      </c>
      <c r="E60" s="18" t="n">
        <v>23</v>
      </c>
      <c r="F60" s="17" t="n">
        <v>7.07</v>
      </c>
      <c r="G60" s="17" t="n">
        <v>6.96</v>
      </c>
      <c r="H60" s="17" t="n">
        <v>1.18</v>
      </c>
      <c r="I60" s="17" t="n">
        <v>5.71</v>
      </c>
      <c r="J60" s="18" t="n">
        <v>242.9</v>
      </c>
      <c r="K60" s="17" t="n">
        <v>1.83</v>
      </c>
      <c r="L60" s="22" t="n">
        <v>2128</v>
      </c>
      <c r="M60" s="18" t="n">
        <v>0</v>
      </c>
      <c r="N60" s="18" t="n">
        <v>112</v>
      </c>
      <c r="O60" s="18" t="n">
        <v>0</v>
      </c>
      <c r="P60" s="16" t="s">
        <v>237</v>
      </c>
    </row>
    <row r="61" customFormat="false" ht="15.75" hidden="false" customHeight="true" outlineLevel="0" collapsed="false">
      <c r="A61" s="13" t="n">
        <v>2022</v>
      </c>
      <c r="B61" s="13" t="s">
        <v>215</v>
      </c>
      <c r="C61" s="13" t="s">
        <v>183</v>
      </c>
      <c r="D61" s="13" t="s">
        <v>178</v>
      </c>
      <c r="E61" s="15" t="n">
        <v>10</v>
      </c>
      <c r="F61" s="14" t="n">
        <v>7.07</v>
      </c>
      <c r="G61" s="14" t="n">
        <v>6.71</v>
      </c>
      <c r="H61" s="14" t="n">
        <v>1.19</v>
      </c>
      <c r="I61" s="14" t="n">
        <v>5.32</v>
      </c>
      <c r="J61" s="15" t="n">
        <v>246.9</v>
      </c>
      <c r="K61" s="14" t="n">
        <v>1.78</v>
      </c>
      <c r="L61" s="22" t="n">
        <v>4127</v>
      </c>
      <c r="M61" s="15" t="n">
        <v>0</v>
      </c>
      <c r="N61" s="15" t="n">
        <v>0</v>
      </c>
      <c r="O61" s="15" t="n">
        <v>0</v>
      </c>
      <c r="P61" s="13" t="s">
        <v>181</v>
      </c>
    </row>
    <row r="62" customFormat="false" ht="15.75" hidden="false" customHeight="true" outlineLevel="0" collapsed="false">
      <c r="A62" s="16" t="n">
        <v>2022</v>
      </c>
      <c r="B62" s="16" t="s">
        <v>49</v>
      </c>
      <c r="C62" s="16" t="s">
        <v>50</v>
      </c>
      <c r="D62" s="16" t="s">
        <v>178</v>
      </c>
      <c r="E62" s="18" t="n">
        <v>138</v>
      </c>
      <c r="F62" s="17" t="n">
        <v>7.04</v>
      </c>
      <c r="G62" s="17" t="n">
        <v>6.98</v>
      </c>
      <c r="H62" s="17" t="n">
        <v>1.17</v>
      </c>
      <c r="I62" s="17" t="n">
        <v>5.58</v>
      </c>
      <c r="J62" s="18" t="n">
        <v>246.19</v>
      </c>
      <c r="K62" s="17" t="n">
        <v>1.76</v>
      </c>
      <c r="L62" s="22" t="n">
        <v>66233</v>
      </c>
      <c r="M62" s="18" t="n">
        <v>0</v>
      </c>
      <c r="N62" s="18" t="n">
        <v>642</v>
      </c>
      <c r="O62" s="18" t="n">
        <v>0</v>
      </c>
      <c r="P62" s="16" t="s">
        <v>238</v>
      </c>
    </row>
    <row r="63" customFormat="false" ht="15.75" hidden="false" customHeight="true" outlineLevel="0" collapsed="false">
      <c r="A63" s="13" t="n">
        <v>2022</v>
      </c>
      <c r="B63" s="13" t="s">
        <v>217</v>
      </c>
      <c r="C63" s="13" t="s">
        <v>177</v>
      </c>
      <c r="D63" s="13" t="s">
        <v>178</v>
      </c>
      <c r="E63" s="15" t="n">
        <v>2</v>
      </c>
      <c r="F63" s="14" t="n">
        <v>7.17</v>
      </c>
      <c r="G63" s="14" t="n">
        <v>6.97</v>
      </c>
      <c r="H63" s="14" t="n">
        <v>1.24</v>
      </c>
      <c r="I63" s="14" t="n">
        <v>5.33</v>
      </c>
      <c r="J63" s="15" t="n">
        <v>244.69</v>
      </c>
      <c r="K63" s="14" t="n">
        <v>1.84</v>
      </c>
      <c r="L63" s="22" t="n">
        <v>0</v>
      </c>
      <c r="M63" s="15" t="n">
        <v>0</v>
      </c>
      <c r="N63" s="15" t="n">
        <v>0</v>
      </c>
      <c r="O63" s="15" t="n">
        <v>0</v>
      </c>
      <c r="P63" s="13" t="s">
        <v>181</v>
      </c>
    </row>
    <row r="64" customFormat="false" ht="15.75" hidden="false" customHeight="true" outlineLevel="0" collapsed="false">
      <c r="A64" s="16" t="n">
        <v>2022</v>
      </c>
      <c r="B64" s="16" t="s">
        <v>218</v>
      </c>
      <c r="C64" s="16" t="s">
        <v>39</v>
      </c>
      <c r="D64" s="16" t="s">
        <v>178</v>
      </c>
      <c r="E64" s="18" t="n">
        <v>28</v>
      </c>
      <c r="F64" s="17" t="n">
        <v>7.06</v>
      </c>
      <c r="G64" s="17" t="n">
        <v>6.63</v>
      </c>
      <c r="H64" s="17" t="n">
        <v>1.19</v>
      </c>
      <c r="I64" s="17" t="n">
        <v>5.28</v>
      </c>
      <c r="J64" s="18" t="n">
        <v>256.04</v>
      </c>
      <c r="K64" s="17" t="n">
        <v>1.75</v>
      </c>
      <c r="L64" s="22" t="n">
        <v>22414</v>
      </c>
      <c r="M64" s="18" t="n">
        <v>0</v>
      </c>
      <c r="N64" s="18" t="n">
        <v>247</v>
      </c>
      <c r="O64" s="18" t="n">
        <v>0</v>
      </c>
      <c r="P64" s="16" t="s">
        <v>239</v>
      </c>
    </row>
    <row r="65" customFormat="false" ht="15.75" hidden="false" customHeight="true" outlineLevel="0" collapsed="false">
      <c r="A65" s="13" t="n">
        <v>2022</v>
      </c>
      <c r="B65" s="13" t="s">
        <v>114</v>
      </c>
      <c r="C65" s="13" t="s">
        <v>192</v>
      </c>
      <c r="D65" s="13" t="s">
        <v>178</v>
      </c>
      <c r="E65" s="15" t="n">
        <v>69</v>
      </c>
      <c r="F65" s="14" t="n">
        <v>7.07</v>
      </c>
      <c r="G65" s="14" t="n">
        <v>6.74</v>
      </c>
      <c r="H65" s="14" t="n">
        <v>1.21</v>
      </c>
      <c r="I65" s="14" t="n">
        <v>5.2</v>
      </c>
      <c r="J65" s="15" t="n">
        <v>251.11</v>
      </c>
      <c r="K65" s="14" t="n">
        <v>1.72</v>
      </c>
      <c r="L65" s="22" t="n">
        <v>11052</v>
      </c>
      <c r="M65" s="15" t="n">
        <v>0</v>
      </c>
      <c r="N65" s="15" t="n">
        <v>1175</v>
      </c>
      <c r="O65" s="15" t="n">
        <v>0</v>
      </c>
      <c r="P65" s="13" t="s">
        <v>240</v>
      </c>
    </row>
    <row r="66" customFormat="false" ht="15.75" hidden="false" customHeight="true" outlineLevel="0" collapsed="false">
      <c r="A66" s="16" t="n">
        <v>2022</v>
      </c>
      <c r="B66" s="16" t="s">
        <v>221</v>
      </c>
      <c r="C66" s="16" t="s">
        <v>183</v>
      </c>
      <c r="D66" s="16" t="s">
        <v>178</v>
      </c>
      <c r="E66" s="18" t="n">
        <v>2</v>
      </c>
      <c r="F66" s="17" t="n">
        <v>7.07</v>
      </c>
      <c r="G66" s="17" t="n">
        <v>6.69</v>
      </c>
      <c r="H66" s="17" t="n">
        <v>1.28</v>
      </c>
      <c r="I66" s="17" t="n">
        <v>5.42</v>
      </c>
      <c r="J66" s="18" t="n">
        <v>249.62</v>
      </c>
      <c r="K66" s="17" t="n">
        <v>1.74</v>
      </c>
      <c r="L66" s="22" t="n">
        <v>2186</v>
      </c>
      <c r="M66" s="18" t="n">
        <v>0</v>
      </c>
      <c r="N66" s="18" t="n">
        <v>2186</v>
      </c>
      <c r="O66" s="18" t="n">
        <v>0</v>
      </c>
      <c r="P66" s="16" t="s">
        <v>241</v>
      </c>
    </row>
    <row r="67" customFormat="false" ht="15.75" hidden="false" customHeight="true" outlineLevel="0" collapsed="false">
      <c r="A67" s="13" t="n">
        <v>2022</v>
      </c>
      <c r="B67" s="13" t="s">
        <v>148</v>
      </c>
      <c r="C67" s="13" t="s">
        <v>180</v>
      </c>
      <c r="D67" s="13" t="s">
        <v>178</v>
      </c>
      <c r="E67" s="15" t="n">
        <v>98</v>
      </c>
      <c r="F67" s="14" t="n">
        <v>7.09</v>
      </c>
      <c r="G67" s="14" t="n">
        <v>6.79</v>
      </c>
      <c r="H67" s="14" t="n">
        <v>1.16</v>
      </c>
      <c r="I67" s="14" t="n">
        <v>5.53</v>
      </c>
      <c r="J67" s="15" t="n">
        <v>245.89</v>
      </c>
      <c r="K67" s="14" t="n">
        <v>1.79</v>
      </c>
      <c r="L67" s="22" t="n">
        <v>279944</v>
      </c>
      <c r="M67" s="15" t="n">
        <v>0</v>
      </c>
      <c r="N67" s="15" t="n">
        <v>56</v>
      </c>
      <c r="O67" s="15" t="n">
        <v>0</v>
      </c>
      <c r="P67" s="13" t="s">
        <v>186</v>
      </c>
    </row>
    <row r="68" customFormat="false" ht="15.75" hidden="false" customHeight="true" outlineLevel="0" collapsed="false">
      <c r="A68" s="16" t="n">
        <v>2022</v>
      </c>
      <c r="B68" s="16" t="s">
        <v>108</v>
      </c>
      <c r="C68" s="16" t="s">
        <v>180</v>
      </c>
      <c r="D68" s="16" t="s">
        <v>178</v>
      </c>
      <c r="E68" s="18" t="n">
        <v>96</v>
      </c>
      <c r="F68" s="17" t="n">
        <v>7.1</v>
      </c>
      <c r="G68" s="17" t="n">
        <v>6.84</v>
      </c>
      <c r="H68" s="17" t="n">
        <v>1.17</v>
      </c>
      <c r="I68" s="17" t="n">
        <v>5.2</v>
      </c>
      <c r="J68" s="18" t="n">
        <v>253.14</v>
      </c>
      <c r="K68" s="17" t="n">
        <v>1.84</v>
      </c>
      <c r="L68" s="22" t="n">
        <v>66739</v>
      </c>
      <c r="M68" s="18" t="n">
        <v>0</v>
      </c>
      <c r="N68" s="18" t="n">
        <v>0</v>
      </c>
      <c r="O68" s="18" t="n">
        <v>0</v>
      </c>
      <c r="P68" s="16" t="s">
        <v>181</v>
      </c>
    </row>
    <row r="69" customFormat="false" ht="15.75" hidden="false" customHeight="true" outlineLevel="0" collapsed="false">
      <c r="A69" s="13" t="n">
        <v>2022</v>
      </c>
      <c r="B69" s="13" t="s">
        <v>223</v>
      </c>
      <c r="C69" s="13" t="s">
        <v>183</v>
      </c>
      <c r="D69" s="13" t="s">
        <v>178</v>
      </c>
      <c r="E69" s="15" t="n">
        <v>17</v>
      </c>
      <c r="F69" s="14" t="n">
        <v>7.15</v>
      </c>
      <c r="G69" s="14" t="n">
        <v>6.78</v>
      </c>
      <c r="H69" s="14" t="n">
        <v>1.24</v>
      </c>
      <c r="I69" s="14" t="n">
        <v>5.58</v>
      </c>
      <c r="J69" s="15" t="n">
        <v>247.88</v>
      </c>
      <c r="K69" s="14" t="n">
        <v>1.73</v>
      </c>
      <c r="L69" s="22" t="n">
        <v>15984</v>
      </c>
      <c r="M69" s="15" t="n">
        <v>0</v>
      </c>
      <c r="N69" s="15" t="n">
        <v>16</v>
      </c>
      <c r="O69" s="15" t="n">
        <v>0</v>
      </c>
      <c r="P69" s="13" t="s">
        <v>242</v>
      </c>
    </row>
    <row r="70" customFormat="false" ht="15.75" hidden="false" customHeight="true" outlineLevel="0" collapsed="false">
      <c r="A70" s="16" t="n">
        <v>2022</v>
      </c>
      <c r="B70" s="16" t="s">
        <v>67</v>
      </c>
      <c r="C70" s="16" t="s">
        <v>39</v>
      </c>
      <c r="D70" s="16" t="s">
        <v>178</v>
      </c>
      <c r="E70" s="18" t="n">
        <v>120</v>
      </c>
      <c r="F70" s="17" t="n">
        <v>7.24</v>
      </c>
      <c r="G70" s="17" t="n">
        <v>6.54</v>
      </c>
      <c r="H70" s="17" t="n">
        <v>1.99</v>
      </c>
      <c r="I70" s="17" t="n">
        <v>10.05</v>
      </c>
      <c r="J70" s="18" t="n">
        <v>384.08</v>
      </c>
      <c r="K70" s="17" t="n">
        <v>2.62</v>
      </c>
      <c r="L70" s="22" t="n">
        <v>130745</v>
      </c>
      <c r="M70" s="18" t="n">
        <v>0</v>
      </c>
      <c r="N70" s="18" t="n">
        <v>988</v>
      </c>
      <c r="O70" s="18" t="n">
        <v>0</v>
      </c>
      <c r="P70" s="16" t="s">
        <v>243</v>
      </c>
    </row>
    <row r="71" customFormat="false" ht="15.75" hidden="false" customHeight="true" outlineLevel="0" collapsed="false">
      <c r="A71" s="13" t="n">
        <v>2022</v>
      </c>
      <c r="B71" s="13" t="s">
        <v>62</v>
      </c>
      <c r="C71" s="13" t="s">
        <v>39</v>
      </c>
      <c r="D71" s="13" t="s">
        <v>178</v>
      </c>
      <c r="E71" s="15" t="n">
        <v>24</v>
      </c>
      <c r="F71" s="14" t="n">
        <v>7.12</v>
      </c>
      <c r="G71" s="14" t="n">
        <v>6.71</v>
      </c>
      <c r="H71" s="14" t="n">
        <v>1.18</v>
      </c>
      <c r="I71" s="14" t="n">
        <v>5.33</v>
      </c>
      <c r="J71" s="15" t="n">
        <v>257.35</v>
      </c>
      <c r="K71" s="14" t="n">
        <v>1.81</v>
      </c>
      <c r="L71" s="22" t="n">
        <v>27573</v>
      </c>
      <c r="M71" s="15" t="n">
        <v>0</v>
      </c>
      <c r="N71" s="15" t="n">
        <v>383</v>
      </c>
      <c r="O71" s="15" t="n">
        <v>0</v>
      </c>
      <c r="P71" s="13" t="s">
        <v>244</v>
      </c>
    </row>
    <row r="72" customFormat="false" ht="15.75" hidden="false" customHeight="true" outlineLevel="0" collapsed="false">
      <c r="A72" s="16" t="n">
        <v>2022</v>
      </c>
      <c r="B72" s="16" t="s">
        <v>73</v>
      </c>
      <c r="C72" s="16" t="s">
        <v>50</v>
      </c>
      <c r="D72" s="16" t="s">
        <v>178</v>
      </c>
      <c r="E72" s="18" t="n">
        <v>210</v>
      </c>
      <c r="F72" s="17" t="n">
        <v>7.12</v>
      </c>
      <c r="G72" s="17" t="n">
        <v>6.71</v>
      </c>
      <c r="H72" s="17" t="n">
        <v>1.17</v>
      </c>
      <c r="I72" s="17" t="n">
        <v>5.8</v>
      </c>
      <c r="J72" s="18" t="n">
        <v>252.43</v>
      </c>
      <c r="K72" s="17" t="n">
        <v>1.81</v>
      </c>
      <c r="L72" s="22" t="n">
        <v>54988</v>
      </c>
      <c r="M72" s="18" t="n">
        <v>0</v>
      </c>
      <c r="N72" s="18" t="n">
        <v>11948</v>
      </c>
      <c r="O72" s="18" t="n">
        <v>0</v>
      </c>
      <c r="P72" s="16" t="s">
        <v>245</v>
      </c>
    </row>
    <row r="73" customFormat="false" ht="15.75" hidden="false" customHeight="true" outlineLevel="0" collapsed="false">
      <c r="A73" s="13" t="n">
        <v>2023</v>
      </c>
      <c r="B73" s="13" t="s">
        <v>176</v>
      </c>
      <c r="C73" s="13" t="s">
        <v>177</v>
      </c>
      <c r="D73" s="13" t="s">
        <v>178</v>
      </c>
      <c r="E73" s="15" t="n">
        <v>10</v>
      </c>
      <c r="F73" s="14" t="n">
        <v>7.07</v>
      </c>
      <c r="G73" s="14" t="n">
        <v>6.68</v>
      </c>
      <c r="H73" s="14" t="n">
        <v>1.19</v>
      </c>
      <c r="I73" s="14" t="n">
        <v>5.17</v>
      </c>
      <c r="J73" s="15" t="n">
        <v>245.46</v>
      </c>
      <c r="K73" s="14" t="n">
        <v>1.78</v>
      </c>
      <c r="L73" s="22" t="n">
        <v>868</v>
      </c>
      <c r="M73" s="15" t="n">
        <v>0</v>
      </c>
      <c r="N73" s="15" t="n">
        <v>2</v>
      </c>
      <c r="O73" s="15" t="n">
        <v>0</v>
      </c>
      <c r="P73" s="13" t="s">
        <v>246</v>
      </c>
    </row>
    <row r="74" customFormat="false" ht="15.75" hidden="false" customHeight="true" outlineLevel="0" collapsed="false">
      <c r="A74" s="16" t="n">
        <v>2023</v>
      </c>
      <c r="B74" s="16" t="s">
        <v>13</v>
      </c>
      <c r="C74" s="16" t="s">
        <v>180</v>
      </c>
      <c r="D74" s="16" t="s">
        <v>178</v>
      </c>
      <c r="E74" s="18" t="n">
        <v>122</v>
      </c>
      <c r="F74" s="17" t="n">
        <v>7.08</v>
      </c>
      <c r="G74" s="17" t="n">
        <v>6.69</v>
      </c>
      <c r="H74" s="17" t="n">
        <v>1.26</v>
      </c>
      <c r="I74" s="17" t="n">
        <v>5.64</v>
      </c>
      <c r="J74" s="18" t="n">
        <v>249.37</v>
      </c>
      <c r="K74" s="17" t="n">
        <v>1.79</v>
      </c>
      <c r="L74" s="22" t="n">
        <v>62904</v>
      </c>
      <c r="M74" s="18" t="n">
        <v>0</v>
      </c>
      <c r="N74" s="18" t="n">
        <v>0</v>
      </c>
      <c r="O74" s="18" t="n">
        <v>0</v>
      </c>
      <c r="P74" s="16" t="s">
        <v>181</v>
      </c>
    </row>
    <row r="75" customFormat="false" ht="15.75" hidden="false" customHeight="true" outlineLevel="0" collapsed="false">
      <c r="A75" s="13" t="n">
        <v>2023</v>
      </c>
      <c r="B75" s="13" t="s">
        <v>182</v>
      </c>
      <c r="C75" s="13" t="s">
        <v>183</v>
      </c>
      <c r="D75" s="13" t="s">
        <v>178</v>
      </c>
      <c r="E75" s="15" t="n">
        <v>34</v>
      </c>
      <c r="F75" s="14" t="n">
        <v>7.16</v>
      </c>
      <c r="G75" s="14" t="n">
        <v>6.83</v>
      </c>
      <c r="H75" s="14" t="n">
        <v>1.2</v>
      </c>
      <c r="I75" s="14" t="n">
        <v>5.33</v>
      </c>
      <c r="J75" s="15" t="n">
        <v>254.46</v>
      </c>
      <c r="K75" s="14" t="n">
        <v>1.89</v>
      </c>
      <c r="L75" s="22" t="n">
        <v>21303</v>
      </c>
      <c r="M75" s="15" t="n">
        <v>0</v>
      </c>
      <c r="N75" s="15" t="n">
        <v>0</v>
      </c>
      <c r="O75" s="15" t="n">
        <v>0</v>
      </c>
      <c r="P75" s="13" t="s">
        <v>181</v>
      </c>
    </row>
    <row r="76" customFormat="false" ht="15.75" hidden="false" customHeight="true" outlineLevel="0" collapsed="false">
      <c r="A76" s="16" t="n">
        <v>2023</v>
      </c>
      <c r="B76" s="16" t="s">
        <v>184</v>
      </c>
      <c r="C76" s="16" t="s">
        <v>183</v>
      </c>
      <c r="D76" s="16" t="s">
        <v>178</v>
      </c>
      <c r="E76" s="18" t="n">
        <v>79</v>
      </c>
      <c r="F76" s="17" t="n">
        <v>7.14</v>
      </c>
      <c r="G76" s="17" t="n">
        <v>6.73</v>
      </c>
      <c r="H76" s="17" t="n">
        <v>1.17</v>
      </c>
      <c r="I76" s="17" t="n">
        <v>5.27</v>
      </c>
      <c r="J76" s="18" t="n">
        <v>255.22</v>
      </c>
      <c r="K76" s="17" t="n">
        <v>1.78</v>
      </c>
      <c r="L76" s="22" t="n">
        <v>69083</v>
      </c>
      <c r="M76" s="18" t="n">
        <v>0</v>
      </c>
      <c r="N76" s="18" t="n">
        <v>494</v>
      </c>
      <c r="O76" s="18" t="n">
        <v>0</v>
      </c>
      <c r="P76" s="16" t="s">
        <v>247</v>
      </c>
    </row>
    <row r="77" customFormat="false" ht="15.75" hidden="false" customHeight="true" outlineLevel="0" collapsed="false">
      <c r="A77" s="13" t="n">
        <v>2023</v>
      </c>
      <c r="B77" s="13" t="s">
        <v>69</v>
      </c>
      <c r="C77" s="13" t="s">
        <v>50</v>
      </c>
      <c r="D77" s="13" t="s">
        <v>178</v>
      </c>
      <c r="E77" s="15" t="n">
        <v>110</v>
      </c>
      <c r="F77" s="14" t="n">
        <v>7.4</v>
      </c>
      <c r="G77" s="14" t="n">
        <v>5.51</v>
      </c>
      <c r="H77" s="14" t="n">
        <v>2.61</v>
      </c>
      <c r="I77" s="14" t="n">
        <v>13.12</v>
      </c>
      <c r="J77" s="15" t="n">
        <v>136.59</v>
      </c>
      <c r="K77" s="14" t="n">
        <v>171.33</v>
      </c>
      <c r="L77" s="22" t="n">
        <v>54989</v>
      </c>
      <c r="M77" s="15" t="n">
        <v>0</v>
      </c>
      <c r="N77" s="15" t="n">
        <v>11</v>
      </c>
      <c r="O77" s="15" t="n">
        <v>0</v>
      </c>
      <c r="P77" s="13" t="s">
        <v>186</v>
      </c>
    </row>
    <row r="78" customFormat="false" ht="15.75" hidden="false" customHeight="true" outlineLevel="0" collapsed="false">
      <c r="A78" s="16" t="n">
        <v>2023</v>
      </c>
      <c r="B78" s="16" t="s">
        <v>187</v>
      </c>
      <c r="C78" s="16" t="s">
        <v>188</v>
      </c>
      <c r="D78" s="16" t="s">
        <v>178</v>
      </c>
      <c r="E78" s="18" t="n">
        <v>72</v>
      </c>
      <c r="F78" s="17" t="n">
        <v>7.05</v>
      </c>
      <c r="G78" s="17" t="n">
        <v>6.94</v>
      </c>
      <c r="H78" s="17" t="n">
        <v>1.18</v>
      </c>
      <c r="I78" s="17" t="n">
        <v>5.76</v>
      </c>
      <c r="J78" s="18" t="n">
        <v>244.43</v>
      </c>
      <c r="K78" s="17" t="n">
        <v>1.77</v>
      </c>
      <c r="L78" s="22" t="n">
        <v>29976</v>
      </c>
      <c r="M78" s="18" t="n">
        <v>0</v>
      </c>
      <c r="N78" s="18" t="n">
        <v>24</v>
      </c>
      <c r="O78" s="18" t="n">
        <v>0</v>
      </c>
      <c r="P78" s="16" t="s">
        <v>205</v>
      </c>
    </row>
    <row r="79" customFormat="false" ht="15.75" hidden="false" customHeight="true" outlineLevel="0" collapsed="false">
      <c r="A79" s="13" t="n">
        <v>2023</v>
      </c>
      <c r="B79" s="13" t="s">
        <v>190</v>
      </c>
      <c r="C79" s="13" t="s">
        <v>177</v>
      </c>
      <c r="D79" s="13" t="s">
        <v>178</v>
      </c>
      <c r="E79" s="15" t="n">
        <v>2</v>
      </c>
      <c r="F79" s="14" t="n">
        <v>7.16</v>
      </c>
      <c r="G79" s="14" t="n">
        <v>6.96</v>
      </c>
      <c r="H79" s="14" t="n">
        <v>1.23</v>
      </c>
      <c r="I79" s="14" t="n">
        <v>5.64</v>
      </c>
      <c r="J79" s="15" t="n">
        <v>255.49</v>
      </c>
      <c r="K79" s="14" t="n">
        <v>1.83</v>
      </c>
      <c r="L79" s="22" t="n">
        <v>0</v>
      </c>
      <c r="M79" s="15" t="n">
        <v>0</v>
      </c>
      <c r="N79" s="15" t="n">
        <v>0</v>
      </c>
      <c r="O79" s="15" t="n">
        <v>0</v>
      </c>
      <c r="P79" s="13" t="s">
        <v>181</v>
      </c>
    </row>
    <row r="80" customFormat="false" ht="15.75" hidden="false" customHeight="true" outlineLevel="0" collapsed="false">
      <c r="A80" s="16" t="n">
        <v>2023</v>
      </c>
      <c r="B80" s="16" t="s">
        <v>191</v>
      </c>
      <c r="C80" s="16" t="s">
        <v>192</v>
      </c>
      <c r="D80" s="16" t="s">
        <v>178</v>
      </c>
      <c r="E80" s="18" t="n">
        <v>22</v>
      </c>
      <c r="F80" s="17" t="n">
        <v>7.11</v>
      </c>
      <c r="G80" s="17" t="n">
        <v>6.63</v>
      </c>
      <c r="H80" s="17" t="n">
        <v>1.14</v>
      </c>
      <c r="I80" s="17" t="n">
        <v>5.76</v>
      </c>
      <c r="J80" s="18" t="n">
        <v>255.24</v>
      </c>
      <c r="K80" s="17" t="n">
        <v>1.76</v>
      </c>
      <c r="L80" s="22" t="n">
        <v>938</v>
      </c>
      <c r="M80" s="18" t="n">
        <v>0</v>
      </c>
      <c r="N80" s="18" t="n">
        <v>5</v>
      </c>
      <c r="O80" s="18" t="n">
        <v>0</v>
      </c>
      <c r="P80" s="16" t="s">
        <v>248</v>
      </c>
    </row>
    <row r="81" customFormat="false" ht="15.75" hidden="false" customHeight="true" outlineLevel="0" collapsed="false">
      <c r="A81" s="13" t="n">
        <v>2023</v>
      </c>
      <c r="B81" s="13" t="s">
        <v>194</v>
      </c>
      <c r="C81" s="13" t="s">
        <v>192</v>
      </c>
      <c r="D81" s="13" t="s">
        <v>178</v>
      </c>
      <c r="E81" s="15" t="n">
        <v>372</v>
      </c>
      <c r="F81" s="14" t="n">
        <v>7.17</v>
      </c>
      <c r="G81" s="14" t="n">
        <v>6.99</v>
      </c>
      <c r="H81" s="14" t="n">
        <v>1.19</v>
      </c>
      <c r="I81" s="14" t="n">
        <v>5.18</v>
      </c>
      <c r="J81" s="15" t="n">
        <v>255.65</v>
      </c>
      <c r="K81" s="14" t="n">
        <v>1.79</v>
      </c>
      <c r="L81" s="22" t="n">
        <v>140142</v>
      </c>
      <c r="M81" s="15" t="n">
        <v>0</v>
      </c>
      <c r="N81" s="15" t="n">
        <v>464</v>
      </c>
      <c r="O81" s="15" t="n">
        <v>0</v>
      </c>
      <c r="P81" s="13" t="s">
        <v>249</v>
      </c>
    </row>
    <row r="82" customFormat="false" ht="15.75" hidden="false" customHeight="true" outlineLevel="0" collapsed="false">
      <c r="A82" s="16" t="n">
        <v>2023</v>
      </c>
      <c r="B82" s="16" t="s">
        <v>38</v>
      </c>
      <c r="C82" s="16" t="s">
        <v>39</v>
      </c>
      <c r="D82" s="16" t="s">
        <v>178</v>
      </c>
      <c r="E82" s="18" t="n">
        <v>40</v>
      </c>
      <c r="F82" s="17" t="n">
        <v>7.05</v>
      </c>
      <c r="G82" s="17" t="n">
        <v>6.91</v>
      </c>
      <c r="H82" s="17" t="n">
        <v>1.19</v>
      </c>
      <c r="I82" s="17" t="n">
        <v>5.39</v>
      </c>
      <c r="J82" s="18" t="n">
        <v>250.49</v>
      </c>
      <c r="K82" s="17" t="n">
        <v>1.77</v>
      </c>
      <c r="L82" s="22" t="n">
        <v>20678</v>
      </c>
      <c r="M82" s="18" t="n">
        <v>0</v>
      </c>
      <c r="N82" s="18" t="n">
        <v>1825</v>
      </c>
      <c r="O82" s="18" t="n">
        <v>0</v>
      </c>
      <c r="P82" s="16" t="s">
        <v>250</v>
      </c>
    </row>
    <row r="83" customFormat="false" ht="15.75" hidden="false" customHeight="true" outlineLevel="0" collapsed="false">
      <c r="A83" s="13" t="n">
        <v>2023</v>
      </c>
      <c r="B83" s="13" t="s">
        <v>197</v>
      </c>
      <c r="C83" s="13" t="s">
        <v>39</v>
      </c>
      <c r="D83" s="13" t="s">
        <v>178</v>
      </c>
      <c r="E83" s="15" t="n">
        <v>75</v>
      </c>
      <c r="F83" s="14" t="n">
        <v>7.12</v>
      </c>
      <c r="G83" s="14" t="n">
        <v>6.91</v>
      </c>
      <c r="H83" s="14" t="n">
        <v>1.19</v>
      </c>
      <c r="I83" s="14" t="n">
        <v>5.42</v>
      </c>
      <c r="J83" s="15" t="n">
        <v>246.63</v>
      </c>
      <c r="K83" s="14" t="n">
        <v>1.72</v>
      </c>
      <c r="L83" s="22" t="n">
        <v>54198</v>
      </c>
      <c r="M83" s="15" t="n">
        <v>0</v>
      </c>
      <c r="N83" s="15" t="n">
        <v>0</v>
      </c>
      <c r="O83" s="15" t="n">
        <v>0</v>
      </c>
      <c r="P83" s="13" t="s">
        <v>181</v>
      </c>
    </row>
    <row r="84" customFormat="false" ht="15.75" hidden="false" customHeight="true" outlineLevel="0" collapsed="false">
      <c r="A84" s="16" t="n">
        <v>2023</v>
      </c>
      <c r="B84" s="16" t="s">
        <v>141</v>
      </c>
      <c r="C84" s="16" t="s">
        <v>39</v>
      </c>
      <c r="D84" s="16" t="s">
        <v>178</v>
      </c>
      <c r="E84" s="18" t="n">
        <v>89</v>
      </c>
      <c r="F84" s="17" t="n">
        <v>7.14</v>
      </c>
      <c r="G84" s="17" t="n">
        <v>6.77</v>
      </c>
      <c r="H84" s="17" t="n">
        <v>1.2</v>
      </c>
      <c r="I84" s="17" t="n">
        <v>5.76</v>
      </c>
      <c r="J84" s="18" t="n">
        <v>252.56</v>
      </c>
      <c r="K84" s="17" t="n">
        <v>1.78</v>
      </c>
      <c r="L84" s="22" t="n">
        <v>98502</v>
      </c>
      <c r="M84" s="18" t="n">
        <v>0</v>
      </c>
      <c r="N84" s="18" t="n">
        <v>69</v>
      </c>
      <c r="O84" s="18" t="n">
        <v>0</v>
      </c>
      <c r="P84" s="16" t="s">
        <v>198</v>
      </c>
    </row>
    <row r="85" customFormat="false" ht="15.75" hidden="false" customHeight="true" outlineLevel="0" collapsed="false">
      <c r="A85" s="13" t="n">
        <v>2023</v>
      </c>
      <c r="B85" s="13" t="s">
        <v>71</v>
      </c>
      <c r="C85" s="13" t="s">
        <v>50</v>
      </c>
      <c r="D85" s="13" t="s">
        <v>178</v>
      </c>
      <c r="E85" s="15" t="n">
        <v>35</v>
      </c>
      <c r="F85" s="14" t="n">
        <v>7.16</v>
      </c>
      <c r="G85" s="14" t="n">
        <v>6.67</v>
      </c>
      <c r="H85" s="14" t="n">
        <v>1.15</v>
      </c>
      <c r="I85" s="14" t="n">
        <v>5.15</v>
      </c>
      <c r="J85" s="15" t="n">
        <v>242.86</v>
      </c>
      <c r="K85" s="14" t="n">
        <v>1.84</v>
      </c>
      <c r="L85" s="22" t="n">
        <v>69986</v>
      </c>
      <c r="M85" s="15" t="n">
        <v>0</v>
      </c>
      <c r="N85" s="15" t="n">
        <v>14</v>
      </c>
      <c r="O85" s="15" t="n">
        <v>0</v>
      </c>
      <c r="P85" s="13" t="s">
        <v>186</v>
      </c>
    </row>
    <row r="86" customFormat="false" ht="15.75" hidden="false" customHeight="true" outlineLevel="0" collapsed="false">
      <c r="A86" s="16" t="n">
        <v>2023</v>
      </c>
      <c r="B86" s="16" t="s">
        <v>111</v>
      </c>
      <c r="C86" s="16" t="s">
        <v>180</v>
      </c>
      <c r="D86" s="16" t="s">
        <v>178</v>
      </c>
      <c r="E86" s="18" t="n">
        <v>94</v>
      </c>
      <c r="F86" s="17" t="n">
        <v>7.05</v>
      </c>
      <c r="G86" s="17" t="n">
        <v>6.96</v>
      </c>
      <c r="H86" s="17" t="n">
        <v>1.23</v>
      </c>
      <c r="I86" s="17" t="n">
        <v>5.23</v>
      </c>
      <c r="J86" s="18" t="n">
        <v>255.28</v>
      </c>
      <c r="K86" s="17" t="n">
        <v>1.83</v>
      </c>
      <c r="L86" s="22" t="n">
        <v>106355</v>
      </c>
      <c r="M86" s="18" t="n">
        <v>0</v>
      </c>
      <c r="N86" s="18" t="n">
        <v>3926</v>
      </c>
      <c r="O86" s="18" t="n">
        <v>0</v>
      </c>
      <c r="P86" s="16" t="s">
        <v>251</v>
      </c>
    </row>
    <row r="87" customFormat="false" ht="15.75" hidden="false" customHeight="true" outlineLevel="0" collapsed="false">
      <c r="A87" s="13" t="n">
        <v>2023</v>
      </c>
      <c r="B87" s="13" t="s">
        <v>200</v>
      </c>
      <c r="C87" s="13" t="s">
        <v>180</v>
      </c>
      <c r="D87" s="13" t="s">
        <v>178</v>
      </c>
      <c r="E87" s="15" t="n">
        <v>89</v>
      </c>
      <c r="F87" s="14" t="n">
        <v>7.06</v>
      </c>
      <c r="G87" s="14" t="n">
        <v>6.71</v>
      </c>
      <c r="H87" s="14" t="n">
        <v>1.16</v>
      </c>
      <c r="I87" s="14" t="n">
        <v>5.18</v>
      </c>
      <c r="J87" s="15" t="n">
        <v>256.7</v>
      </c>
      <c r="K87" s="14" t="n">
        <v>1.78</v>
      </c>
      <c r="L87" s="22" t="n">
        <v>70008</v>
      </c>
      <c r="M87" s="15" t="n">
        <v>0</v>
      </c>
      <c r="N87" s="15" t="n">
        <v>8257</v>
      </c>
      <c r="O87" s="15" t="n">
        <v>0</v>
      </c>
      <c r="P87" s="13" t="s">
        <v>252</v>
      </c>
    </row>
    <row r="88" customFormat="false" ht="15.75" hidden="false" customHeight="true" outlineLevel="0" collapsed="false">
      <c r="A88" s="16" t="n">
        <v>2023</v>
      </c>
      <c r="B88" s="16" t="s">
        <v>202</v>
      </c>
      <c r="C88" s="16" t="s">
        <v>177</v>
      </c>
      <c r="D88" s="16" t="s">
        <v>178</v>
      </c>
      <c r="E88" s="18" t="n">
        <v>8</v>
      </c>
      <c r="F88" s="17" t="n">
        <v>7.14</v>
      </c>
      <c r="G88" s="17" t="n">
        <v>6.69</v>
      </c>
      <c r="H88" s="17" t="n">
        <v>1.2</v>
      </c>
      <c r="I88" s="17" t="n">
        <v>5.45</v>
      </c>
      <c r="J88" s="18" t="n">
        <v>256.66</v>
      </c>
      <c r="K88" s="17" t="n">
        <v>1.75</v>
      </c>
      <c r="L88" s="22" t="n">
        <v>762</v>
      </c>
      <c r="M88" s="18" t="n">
        <v>0</v>
      </c>
      <c r="N88" s="18" t="n">
        <v>15</v>
      </c>
      <c r="O88" s="18" t="n">
        <v>0</v>
      </c>
      <c r="P88" s="16" t="s">
        <v>253</v>
      </c>
    </row>
    <row r="89" customFormat="false" ht="15.75" hidden="false" customHeight="true" outlineLevel="0" collapsed="false">
      <c r="A89" s="13" t="n">
        <v>2023</v>
      </c>
      <c r="B89" s="13" t="s">
        <v>204</v>
      </c>
      <c r="C89" s="13" t="s">
        <v>177</v>
      </c>
      <c r="D89" s="13" t="s">
        <v>178</v>
      </c>
      <c r="E89" s="15" t="n">
        <v>8</v>
      </c>
      <c r="F89" s="14" t="n">
        <v>7.05</v>
      </c>
      <c r="G89" s="14" t="n">
        <v>6.95</v>
      </c>
      <c r="H89" s="14" t="n">
        <v>1.14</v>
      </c>
      <c r="I89" s="14" t="n">
        <v>5.27</v>
      </c>
      <c r="J89" s="15" t="n">
        <v>253.03</v>
      </c>
      <c r="K89" s="14" t="n">
        <v>1.76</v>
      </c>
      <c r="L89" s="22" t="n">
        <v>1249</v>
      </c>
      <c r="M89" s="15" t="n">
        <v>0</v>
      </c>
      <c r="N89" s="15" t="n">
        <v>1</v>
      </c>
      <c r="O89" s="15" t="n">
        <v>0</v>
      </c>
      <c r="P89" s="13" t="s">
        <v>205</v>
      </c>
    </row>
    <row r="90" customFormat="false" ht="15.75" hidden="false" customHeight="true" outlineLevel="0" collapsed="false">
      <c r="A90" s="16" t="n">
        <v>2023</v>
      </c>
      <c r="B90" s="16" t="s">
        <v>206</v>
      </c>
      <c r="C90" s="16" t="s">
        <v>188</v>
      </c>
      <c r="D90" s="16" t="s">
        <v>178</v>
      </c>
      <c r="E90" s="18" t="n">
        <v>166</v>
      </c>
      <c r="F90" s="17" t="n">
        <v>7.14</v>
      </c>
      <c r="G90" s="17" t="n">
        <v>6.94</v>
      </c>
      <c r="H90" s="17" t="n">
        <v>1.3</v>
      </c>
      <c r="I90" s="17" t="n">
        <v>5.19</v>
      </c>
      <c r="J90" s="18" t="n">
        <v>253.92</v>
      </c>
      <c r="K90" s="17" t="n">
        <v>1.79</v>
      </c>
      <c r="L90" s="22" t="n">
        <v>183278</v>
      </c>
      <c r="M90" s="18" t="n">
        <v>0</v>
      </c>
      <c r="N90" s="18" t="n">
        <v>55</v>
      </c>
      <c r="O90" s="18" t="n">
        <v>0</v>
      </c>
      <c r="P90" s="16" t="s">
        <v>207</v>
      </c>
    </row>
    <row r="91" customFormat="false" ht="15.75" hidden="false" customHeight="true" outlineLevel="0" collapsed="false">
      <c r="A91" s="13" t="n">
        <v>2023</v>
      </c>
      <c r="B91" s="13" t="s">
        <v>208</v>
      </c>
      <c r="C91" s="13" t="s">
        <v>192</v>
      </c>
      <c r="D91" s="13" t="s">
        <v>178</v>
      </c>
      <c r="E91" s="15" t="n">
        <v>204</v>
      </c>
      <c r="F91" s="14" t="n">
        <v>7.17</v>
      </c>
      <c r="G91" s="14" t="n">
        <v>7.08</v>
      </c>
      <c r="H91" s="14" t="n">
        <v>1.54</v>
      </c>
      <c r="I91" s="14" t="n">
        <v>8.04</v>
      </c>
      <c r="J91" s="15" t="n">
        <v>321.3</v>
      </c>
      <c r="K91" s="14" t="n">
        <v>2.02</v>
      </c>
      <c r="L91" s="22" t="n">
        <v>208735</v>
      </c>
      <c r="M91" s="15" t="n">
        <v>0</v>
      </c>
      <c r="N91" s="15" t="n">
        <v>9083</v>
      </c>
      <c r="O91" s="15" t="n">
        <v>0</v>
      </c>
      <c r="P91" s="13" t="s">
        <v>254</v>
      </c>
    </row>
    <row r="92" customFormat="false" ht="15.75" hidden="false" customHeight="true" outlineLevel="0" collapsed="false">
      <c r="A92" s="16" t="n">
        <v>2023</v>
      </c>
      <c r="B92" s="16" t="s">
        <v>210</v>
      </c>
      <c r="C92" s="16" t="s">
        <v>183</v>
      </c>
      <c r="D92" s="16" t="s">
        <v>178</v>
      </c>
      <c r="E92" s="18" t="n">
        <v>12</v>
      </c>
      <c r="F92" s="17" t="n">
        <v>7.06</v>
      </c>
      <c r="G92" s="17" t="n">
        <v>6.77</v>
      </c>
      <c r="H92" s="17" t="n">
        <v>1.16</v>
      </c>
      <c r="I92" s="17" t="n">
        <v>5.36</v>
      </c>
      <c r="J92" s="18" t="n">
        <v>251.26</v>
      </c>
      <c r="K92" s="17" t="n">
        <v>1.8</v>
      </c>
      <c r="L92" s="22" t="n">
        <v>10204</v>
      </c>
      <c r="M92" s="18" t="n">
        <v>0</v>
      </c>
      <c r="N92" s="18" t="n">
        <v>0</v>
      </c>
      <c r="O92" s="18" t="n">
        <v>0</v>
      </c>
      <c r="P92" s="16" t="s">
        <v>181</v>
      </c>
    </row>
    <row r="93" customFormat="false" ht="15.75" hidden="false" customHeight="true" outlineLevel="0" collapsed="false">
      <c r="A93" s="13" t="n">
        <v>2023</v>
      </c>
      <c r="B93" s="13" t="s">
        <v>211</v>
      </c>
      <c r="C93" s="13" t="s">
        <v>183</v>
      </c>
      <c r="D93" s="13" t="s">
        <v>178</v>
      </c>
      <c r="E93" s="15" t="n">
        <v>28</v>
      </c>
      <c r="F93" s="14" t="n">
        <v>7.09</v>
      </c>
      <c r="G93" s="14" t="n">
        <v>6.95</v>
      </c>
      <c r="H93" s="14" t="n">
        <v>1.16</v>
      </c>
      <c r="I93" s="14" t="n">
        <v>5.53</v>
      </c>
      <c r="J93" s="15" t="n">
        <v>245.69</v>
      </c>
      <c r="K93" s="14" t="n">
        <v>1.72</v>
      </c>
      <c r="L93" s="22" t="n">
        <v>19075</v>
      </c>
      <c r="M93" s="15" t="n">
        <v>0</v>
      </c>
      <c r="N93" s="15" t="n">
        <v>92</v>
      </c>
      <c r="O93" s="15" t="n">
        <v>0</v>
      </c>
      <c r="P93" s="13" t="s">
        <v>255</v>
      </c>
    </row>
    <row r="94" customFormat="false" ht="15.75" hidden="false" customHeight="true" outlineLevel="0" collapsed="false">
      <c r="A94" s="16" t="n">
        <v>2023</v>
      </c>
      <c r="B94" s="16" t="s">
        <v>213</v>
      </c>
      <c r="C94" s="16" t="s">
        <v>183</v>
      </c>
      <c r="D94" s="16" t="s">
        <v>178</v>
      </c>
      <c r="E94" s="18" t="n">
        <v>25</v>
      </c>
      <c r="F94" s="17" t="n">
        <v>7.14</v>
      </c>
      <c r="G94" s="17" t="n">
        <v>6.64</v>
      </c>
      <c r="H94" s="17" t="n">
        <v>1.19</v>
      </c>
      <c r="I94" s="17" t="n">
        <v>5.78</v>
      </c>
      <c r="J94" s="18" t="n">
        <v>250.34</v>
      </c>
      <c r="K94" s="17" t="n">
        <v>1.87</v>
      </c>
      <c r="L94" s="22" t="n">
        <v>1798</v>
      </c>
      <c r="M94" s="18" t="n">
        <v>0</v>
      </c>
      <c r="N94" s="18" t="n">
        <v>115</v>
      </c>
      <c r="O94" s="18" t="n">
        <v>0</v>
      </c>
      <c r="P94" s="16" t="s">
        <v>256</v>
      </c>
    </row>
    <row r="95" customFormat="false" ht="15.75" hidden="false" customHeight="true" outlineLevel="0" collapsed="false">
      <c r="A95" s="13" t="n">
        <v>2023</v>
      </c>
      <c r="B95" s="13" t="s">
        <v>215</v>
      </c>
      <c r="C95" s="13" t="s">
        <v>183</v>
      </c>
      <c r="D95" s="13" t="s">
        <v>178</v>
      </c>
      <c r="E95" s="15" t="n">
        <v>11</v>
      </c>
      <c r="F95" s="14" t="n">
        <v>7.15</v>
      </c>
      <c r="G95" s="14" t="n">
        <v>6.75</v>
      </c>
      <c r="H95" s="14" t="n">
        <v>1.24</v>
      </c>
      <c r="I95" s="14" t="n">
        <v>5.68</v>
      </c>
      <c r="J95" s="15" t="n">
        <v>247.29</v>
      </c>
      <c r="K95" s="14" t="n">
        <v>1.82</v>
      </c>
      <c r="L95" s="22" t="n">
        <v>5089</v>
      </c>
      <c r="M95" s="15" t="n">
        <v>0</v>
      </c>
      <c r="N95" s="15" t="n">
        <v>0</v>
      </c>
      <c r="O95" s="15" t="n">
        <v>0</v>
      </c>
      <c r="P95" s="13" t="s">
        <v>181</v>
      </c>
    </row>
    <row r="96" customFormat="false" ht="15.75" hidden="false" customHeight="true" outlineLevel="0" collapsed="false">
      <c r="A96" s="16" t="n">
        <v>2023</v>
      </c>
      <c r="B96" s="16" t="s">
        <v>49</v>
      </c>
      <c r="C96" s="16" t="s">
        <v>50</v>
      </c>
      <c r="D96" s="16" t="s">
        <v>178</v>
      </c>
      <c r="E96" s="18" t="n">
        <v>141</v>
      </c>
      <c r="F96" s="17" t="n">
        <v>7.12</v>
      </c>
      <c r="G96" s="17" t="n">
        <v>6.95</v>
      </c>
      <c r="H96" s="17" t="n">
        <v>1.15</v>
      </c>
      <c r="I96" s="17" t="n">
        <v>5.33</v>
      </c>
      <c r="J96" s="18" t="n">
        <v>247.86</v>
      </c>
      <c r="K96" s="17" t="n">
        <v>1.8</v>
      </c>
      <c r="L96" s="22" t="n">
        <v>77808</v>
      </c>
      <c r="M96" s="18" t="n">
        <v>0</v>
      </c>
      <c r="N96" s="18" t="n">
        <v>778</v>
      </c>
      <c r="O96" s="18" t="n">
        <v>0</v>
      </c>
      <c r="P96" s="16" t="s">
        <v>216</v>
      </c>
    </row>
    <row r="97" customFormat="false" ht="15.75" hidden="false" customHeight="true" outlineLevel="0" collapsed="false">
      <c r="A97" s="13" t="n">
        <v>2023</v>
      </c>
      <c r="B97" s="13" t="s">
        <v>217</v>
      </c>
      <c r="C97" s="13" t="s">
        <v>177</v>
      </c>
      <c r="D97" s="13" t="s">
        <v>178</v>
      </c>
      <c r="E97" s="15" t="n">
        <v>2</v>
      </c>
      <c r="F97" s="14" t="n">
        <v>7.11</v>
      </c>
      <c r="G97" s="14" t="n">
        <v>6.7</v>
      </c>
      <c r="H97" s="14" t="n">
        <v>1.28</v>
      </c>
      <c r="I97" s="14" t="n">
        <v>5.14</v>
      </c>
      <c r="J97" s="15" t="n">
        <v>250.02</v>
      </c>
      <c r="K97" s="14" t="n">
        <v>1.77</v>
      </c>
      <c r="L97" s="22" t="n">
        <v>0</v>
      </c>
      <c r="M97" s="15" t="n">
        <v>0</v>
      </c>
      <c r="N97" s="15" t="n">
        <v>0</v>
      </c>
      <c r="O97" s="15" t="n">
        <v>0</v>
      </c>
      <c r="P97" s="13" t="s">
        <v>181</v>
      </c>
    </row>
    <row r="98" customFormat="false" ht="15.75" hidden="false" customHeight="true" outlineLevel="0" collapsed="false">
      <c r="A98" s="16" t="n">
        <v>2023</v>
      </c>
      <c r="B98" s="16" t="s">
        <v>218</v>
      </c>
      <c r="C98" s="16" t="s">
        <v>39</v>
      </c>
      <c r="D98" s="16" t="s">
        <v>178</v>
      </c>
      <c r="E98" s="18" t="n">
        <v>30</v>
      </c>
      <c r="F98" s="17" t="n">
        <v>7.13</v>
      </c>
      <c r="G98" s="17" t="n">
        <v>6.8</v>
      </c>
      <c r="H98" s="17" t="n">
        <v>1.18</v>
      </c>
      <c r="I98" s="17" t="n">
        <v>5.55</v>
      </c>
      <c r="J98" s="18" t="n">
        <v>253.61</v>
      </c>
      <c r="K98" s="17" t="n">
        <v>1.81</v>
      </c>
      <c r="L98" s="22" t="n">
        <v>25611</v>
      </c>
      <c r="M98" s="18" t="n">
        <v>0</v>
      </c>
      <c r="N98" s="18" t="n">
        <v>277</v>
      </c>
      <c r="O98" s="18" t="n">
        <v>0</v>
      </c>
      <c r="P98" s="16" t="s">
        <v>257</v>
      </c>
    </row>
    <row r="99" customFormat="false" ht="15.75" hidden="false" customHeight="true" outlineLevel="0" collapsed="false">
      <c r="A99" s="13" t="n">
        <v>2023</v>
      </c>
      <c r="B99" s="13" t="s">
        <v>114</v>
      </c>
      <c r="C99" s="13" t="s">
        <v>192</v>
      </c>
      <c r="D99" s="13" t="s">
        <v>178</v>
      </c>
      <c r="E99" s="15" t="n">
        <v>71</v>
      </c>
      <c r="F99" s="14" t="n">
        <v>7.12</v>
      </c>
      <c r="G99" s="14" t="n">
        <v>6.76</v>
      </c>
      <c r="H99" s="14" t="n">
        <v>1.16</v>
      </c>
      <c r="I99" s="14" t="n">
        <v>5.51</v>
      </c>
      <c r="J99" s="15" t="n">
        <v>244.9</v>
      </c>
      <c r="K99" s="14" t="n">
        <v>1.8</v>
      </c>
      <c r="L99" s="22" t="n">
        <v>10821</v>
      </c>
      <c r="M99" s="15" t="n">
        <v>0</v>
      </c>
      <c r="N99" s="15" t="n">
        <v>1402</v>
      </c>
      <c r="O99" s="15" t="n">
        <v>0</v>
      </c>
      <c r="P99" s="13" t="s">
        <v>258</v>
      </c>
    </row>
    <row r="100" customFormat="false" ht="15.75" hidden="false" customHeight="true" outlineLevel="0" collapsed="false">
      <c r="A100" s="16" t="n">
        <v>2023</v>
      </c>
      <c r="B100" s="16" t="s">
        <v>221</v>
      </c>
      <c r="C100" s="16" t="s">
        <v>183</v>
      </c>
      <c r="D100" s="16" t="s">
        <v>178</v>
      </c>
      <c r="E100" s="18" t="n">
        <v>2</v>
      </c>
      <c r="F100" s="17" t="n">
        <v>7.1</v>
      </c>
      <c r="G100" s="17" t="n">
        <v>6.98</v>
      </c>
      <c r="H100" s="17" t="n">
        <v>1.17</v>
      </c>
      <c r="I100" s="17" t="n">
        <v>5.71</v>
      </c>
      <c r="J100" s="18" t="n">
        <v>251.28</v>
      </c>
      <c r="K100" s="17" t="n">
        <v>1.75</v>
      </c>
      <c r="L100" s="22" t="n">
        <v>2728</v>
      </c>
      <c r="M100" s="18" t="n">
        <v>0</v>
      </c>
      <c r="N100" s="18" t="n">
        <v>2728</v>
      </c>
      <c r="O100" s="18" t="n">
        <v>0</v>
      </c>
      <c r="P100" s="16" t="s">
        <v>259</v>
      </c>
    </row>
    <row r="101" customFormat="false" ht="15" hidden="false" customHeight="true" outlineLevel="0" collapsed="false">
      <c r="A101" s="13" t="n">
        <v>2023</v>
      </c>
      <c r="B101" s="13" t="s">
        <v>148</v>
      </c>
      <c r="C101" s="13" t="s">
        <v>180</v>
      </c>
      <c r="D101" s="13" t="s">
        <v>178</v>
      </c>
      <c r="E101" s="15" t="n">
        <v>104</v>
      </c>
      <c r="F101" s="14" t="n">
        <v>7.13</v>
      </c>
      <c r="G101" s="14" t="n">
        <v>6.63</v>
      </c>
      <c r="H101" s="14" t="n">
        <v>1.19</v>
      </c>
      <c r="I101" s="14" t="n">
        <v>5.69</v>
      </c>
      <c r="J101" s="15" t="n">
        <v>250.93</v>
      </c>
      <c r="K101" s="14" t="n">
        <v>1.72</v>
      </c>
      <c r="L101" s="22" t="n">
        <v>314937</v>
      </c>
      <c r="M101" s="15" t="n">
        <v>0</v>
      </c>
      <c r="N101" s="15" t="n">
        <v>63</v>
      </c>
      <c r="O101" s="15" t="n">
        <v>0</v>
      </c>
      <c r="P101" s="13" t="s">
        <v>186</v>
      </c>
    </row>
    <row r="102" customFormat="false" ht="15" hidden="false" customHeight="true" outlineLevel="0" collapsed="false">
      <c r="A102" s="16" t="n">
        <v>2023</v>
      </c>
      <c r="B102" s="16" t="s">
        <v>108</v>
      </c>
      <c r="C102" s="16" t="s">
        <v>180</v>
      </c>
      <c r="D102" s="16" t="s">
        <v>178</v>
      </c>
      <c r="E102" s="18" t="n">
        <v>107</v>
      </c>
      <c r="F102" s="17" t="n">
        <v>7.09</v>
      </c>
      <c r="G102" s="17" t="n">
        <v>6.64</v>
      </c>
      <c r="H102" s="17" t="n">
        <v>1.17</v>
      </c>
      <c r="I102" s="17" t="n">
        <v>5.49</v>
      </c>
      <c r="J102" s="18" t="n">
        <v>251.84</v>
      </c>
      <c r="K102" s="17" t="n">
        <v>1.8</v>
      </c>
      <c r="L102" s="22" t="n">
        <v>85431</v>
      </c>
      <c r="M102" s="18" t="n">
        <v>0</v>
      </c>
      <c r="N102" s="18" t="n">
        <v>0</v>
      </c>
      <c r="O102" s="18" t="n">
        <v>0</v>
      </c>
      <c r="P102" s="16" t="s">
        <v>181</v>
      </c>
    </row>
    <row r="103" customFormat="false" ht="15" hidden="false" customHeight="true" outlineLevel="0" collapsed="false">
      <c r="A103" s="13" t="n">
        <v>2023</v>
      </c>
      <c r="B103" s="13" t="s">
        <v>223</v>
      </c>
      <c r="C103" s="13" t="s">
        <v>183</v>
      </c>
      <c r="D103" s="13" t="s">
        <v>178</v>
      </c>
      <c r="E103" s="15" t="n">
        <v>19</v>
      </c>
      <c r="F103" s="14" t="n">
        <v>7.15</v>
      </c>
      <c r="G103" s="14" t="n">
        <v>6.61</v>
      </c>
      <c r="H103" s="14" t="n">
        <v>1.19</v>
      </c>
      <c r="I103" s="14" t="n">
        <v>5.27</v>
      </c>
      <c r="J103" s="15" t="n">
        <v>253.94</v>
      </c>
      <c r="K103" s="14" t="n">
        <v>1.8</v>
      </c>
      <c r="L103" s="22" t="n">
        <v>17479</v>
      </c>
      <c r="M103" s="15" t="n">
        <v>0</v>
      </c>
      <c r="N103" s="15" t="n">
        <v>21</v>
      </c>
      <c r="O103" s="15" t="n">
        <v>0</v>
      </c>
      <c r="P103" s="13" t="s">
        <v>260</v>
      </c>
    </row>
    <row r="104" customFormat="false" ht="15" hidden="false" customHeight="true" outlineLevel="0" collapsed="false">
      <c r="A104" s="16" t="n">
        <v>2023</v>
      </c>
      <c r="B104" s="16" t="s">
        <v>67</v>
      </c>
      <c r="C104" s="16" t="s">
        <v>39</v>
      </c>
      <c r="D104" s="16" t="s">
        <v>178</v>
      </c>
      <c r="E104" s="18" t="n">
        <v>128</v>
      </c>
      <c r="F104" s="17" t="n">
        <v>7.24</v>
      </c>
      <c r="G104" s="17" t="n">
        <v>6.56</v>
      </c>
      <c r="H104" s="17" t="n">
        <v>1.9</v>
      </c>
      <c r="I104" s="17" t="n">
        <v>10.1</v>
      </c>
      <c r="J104" s="18" t="n">
        <v>375.43</v>
      </c>
      <c r="K104" s="17" t="n">
        <v>2.51</v>
      </c>
      <c r="L104" s="22" t="n">
        <v>202744</v>
      </c>
      <c r="M104" s="18" t="n">
        <v>0</v>
      </c>
      <c r="N104" s="18" t="n">
        <v>1347</v>
      </c>
      <c r="O104" s="18" t="n">
        <v>0</v>
      </c>
      <c r="P104" s="16" t="s">
        <v>261</v>
      </c>
    </row>
    <row r="105" customFormat="false" ht="15" hidden="false" customHeight="true" outlineLevel="0" collapsed="false">
      <c r="A105" s="13" t="n">
        <v>2023</v>
      </c>
      <c r="B105" s="13" t="s">
        <v>62</v>
      </c>
      <c r="C105" s="13" t="s">
        <v>39</v>
      </c>
      <c r="D105" s="13" t="s">
        <v>178</v>
      </c>
      <c r="E105" s="15" t="n">
        <v>25</v>
      </c>
      <c r="F105" s="14" t="n">
        <v>7.05</v>
      </c>
      <c r="G105" s="14" t="n">
        <v>6.9</v>
      </c>
      <c r="H105" s="14" t="n">
        <v>1.16</v>
      </c>
      <c r="I105" s="14" t="n">
        <v>5.36</v>
      </c>
      <c r="J105" s="15" t="n">
        <v>244.93</v>
      </c>
      <c r="K105" s="14" t="n">
        <v>1.85</v>
      </c>
      <c r="L105" s="22" t="n">
        <v>40778</v>
      </c>
      <c r="M105" s="15" t="n">
        <v>0</v>
      </c>
      <c r="N105" s="15" t="n">
        <v>512</v>
      </c>
      <c r="O105" s="15" t="n">
        <v>0</v>
      </c>
      <c r="P105" s="13" t="s">
        <v>262</v>
      </c>
    </row>
    <row r="106" customFormat="false" ht="15" hidden="false" customHeight="true" outlineLevel="0" collapsed="false">
      <c r="A106" s="16" t="n">
        <v>2023</v>
      </c>
      <c r="B106" s="16" t="s">
        <v>73</v>
      </c>
      <c r="C106" s="16" t="s">
        <v>50</v>
      </c>
      <c r="D106" s="16" t="s">
        <v>178</v>
      </c>
      <c r="E106" s="18" t="n">
        <v>219</v>
      </c>
      <c r="F106" s="17" t="n">
        <v>7.05</v>
      </c>
      <c r="G106" s="17" t="n">
        <v>6.9</v>
      </c>
      <c r="H106" s="17" t="n">
        <v>1.29</v>
      </c>
      <c r="I106" s="17" t="n">
        <v>5.15</v>
      </c>
      <c r="J106" s="18" t="n">
        <v>253.79</v>
      </c>
      <c r="K106" s="17" t="n">
        <v>1.8</v>
      </c>
      <c r="L106" s="22" t="n">
        <v>58321</v>
      </c>
      <c r="M106" s="18" t="n">
        <v>0</v>
      </c>
      <c r="N106" s="18" t="n">
        <v>14317</v>
      </c>
      <c r="O106" s="18" t="n">
        <v>0</v>
      </c>
      <c r="P106" s="16" t="s">
        <v>263</v>
      </c>
    </row>
    <row r="107" customFormat="false" ht="15" hidden="false" customHeight="true" outlineLevel="0" collapsed="false">
      <c r="A107" s="13" t="n">
        <v>2024</v>
      </c>
      <c r="B107" s="13" t="s">
        <v>176</v>
      </c>
      <c r="C107" s="13" t="s">
        <v>177</v>
      </c>
      <c r="D107" s="13" t="s">
        <v>178</v>
      </c>
      <c r="E107" s="15" t="n">
        <v>11</v>
      </c>
      <c r="F107" s="14" t="n">
        <v>7.05</v>
      </c>
      <c r="G107" s="14" t="n">
        <v>6.66</v>
      </c>
      <c r="H107" s="14" t="n">
        <v>1.17</v>
      </c>
      <c r="I107" s="14" t="n">
        <v>5.46</v>
      </c>
      <c r="J107" s="15" t="n">
        <v>250.84</v>
      </c>
      <c r="K107" s="14" t="n">
        <v>1.73</v>
      </c>
      <c r="L107" s="22" t="n">
        <v>868</v>
      </c>
      <c r="M107" s="15" t="n">
        <v>0</v>
      </c>
      <c r="N107" s="15" t="n">
        <v>2</v>
      </c>
      <c r="O107" s="15" t="n">
        <v>0</v>
      </c>
      <c r="P107" s="13" t="s">
        <v>246</v>
      </c>
    </row>
    <row r="108" customFormat="false" ht="15" hidden="false" customHeight="true" outlineLevel="0" collapsed="false">
      <c r="A108" s="16" t="n">
        <v>2024</v>
      </c>
      <c r="B108" s="16" t="s">
        <v>13</v>
      </c>
      <c r="C108" s="16" t="s">
        <v>180</v>
      </c>
      <c r="D108" s="16" t="s">
        <v>178</v>
      </c>
      <c r="E108" s="18" t="n">
        <v>131</v>
      </c>
      <c r="F108" s="17" t="n">
        <v>7.15</v>
      </c>
      <c r="G108" s="17" t="n">
        <v>6.71</v>
      </c>
      <c r="H108" s="17" t="n">
        <v>1.27</v>
      </c>
      <c r="I108" s="17" t="n">
        <v>5.81</v>
      </c>
      <c r="J108" s="18" t="n">
        <v>242.89</v>
      </c>
      <c r="K108" s="17" t="n">
        <v>1.84</v>
      </c>
      <c r="L108" s="22" t="n">
        <v>83478</v>
      </c>
      <c r="M108" s="18" t="n">
        <v>0</v>
      </c>
      <c r="N108" s="18" t="n">
        <v>0</v>
      </c>
      <c r="O108" s="18" t="n">
        <v>0</v>
      </c>
      <c r="P108" s="16" t="s">
        <v>181</v>
      </c>
    </row>
    <row r="109" customFormat="false" ht="15" hidden="false" customHeight="true" outlineLevel="0" collapsed="false">
      <c r="A109" s="13" t="n">
        <v>2024</v>
      </c>
      <c r="B109" s="13" t="s">
        <v>182</v>
      </c>
      <c r="C109" s="13" t="s">
        <v>183</v>
      </c>
      <c r="D109" s="13" t="s">
        <v>178</v>
      </c>
      <c r="E109" s="15" t="n">
        <v>36</v>
      </c>
      <c r="F109" s="14" t="n">
        <v>7.08</v>
      </c>
      <c r="G109" s="14" t="n">
        <v>6.91</v>
      </c>
      <c r="H109" s="14" t="n">
        <v>1.14</v>
      </c>
      <c r="I109" s="14" t="n">
        <v>5.51</v>
      </c>
      <c r="J109" s="15" t="n">
        <v>243.81</v>
      </c>
      <c r="K109" s="14" t="n">
        <v>1.76</v>
      </c>
      <c r="L109" s="22" t="n">
        <v>28057</v>
      </c>
      <c r="M109" s="15" t="n">
        <v>0</v>
      </c>
      <c r="N109" s="15" t="n">
        <v>0</v>
      </c>
      <c r="O109" s="15" t="n">
        <v>0</v>
      </c>
      <c r="P109" s="13" t="s">
        <v>181</v>
      </c>
    </row>
    <row r="110" customFormat="false" ht="15" hidden="false" customHeight="true" outlineLevel="0" collapsed="false">
      <c r="A110" s="16" t="n">
        <v>2024</v>
      </c>
      <c r="B110" s="16" t="s">
        <v>184</v>
      </c>
      <c r="C110" s="16" t="s">
        <v>183</v>
      </c>
      <c r="D110" s="16" t="s">
        <v>178</v>
      </c>
      <c r="E110" s="18" t="n">
        <v>79</v>
      </c>
      <c r="F110" s="17" t="n">
        <v>7.06</v>
      </c>
      <c r="G110" s="17" t="n">
        <v>6.82</v>
      </c>
      <c r="H110" s="17" t="n">
        <v>1.26</v>
      </c>
      <c r="I110" s="17" t="n">
        <v>5.24</v>
      </c>
      <c r="J110" s="18" t="n">
        <v>243.53</v>
      </c>
      <c r="K110" s="17" t="n">
        <v>1.87</v>
      </c>
      <c r="L110" s="22" t="n">
        <v>65989</v>
      </c>
      <c r="M110" s="18" t="n">
        <v>0</v>
      </c>
      <c r="N110" s="18" t="n">
        <v>559</v>
      </c>
      <c r="O110" s="18" t="n">
        <v>0</v>
      </c>
      <c r="P110" s="16" t="s">
        <v>264</v>
      </c>
    </row>
    <row r="111" customFormat="false" ht="15" hidden="false" customHeight="true" outlineLevel="0" collapsed="false">
      <c r="A111" s="13" t="n">
        <v>2024</v>
      </c>
      <c r="B111" s="13" t="s">
        <v>69</v>
      </c>
      <c r="C111" s="13" t="s">
        <v>50</v>
      </c>
      <c r="D111" s="13" t="s">
        <v>178</v>
      </c>
      <c r="E111" s="15" t="n">
        <v>116</v>
      </c>
      <c r="F111" s="14" t="n">
        <v>7.34</v>
      </c>
      <c r="G111" s="14" t="n">
        <v>5.41</v>
      </c>
      <c r="H111" s="14" t="n">
        <v>2.76</v>
      </c>
      <c r="I111" s="14" t="n">
        <v>12.32</v>
      </c>
      <c r="J111" s="15" t="n">
        <v>133.29</v>
      </c>
      <c r="K111" s="14" t="n">
        <v>179.28</v>
      </c>
      <c r="L111" s="22" t="n">
        <v>64987</v>
      </c>
      <c r="M111" s="15" t="n">
        <v>0</v>
      </c>
      <c r="N111" s="15" t="n">
        <v>13</v>
      </c>
      <c r="O111" s="15" t="n">
        <v>0</v>
      </c>
      <c r="P111" s="13" t="s">
        <v>186</v>
      </c>
    </row>
    <row r="112" customFormat="false" ht="15" hidden="false" customHeight="true" outlineLevel="0" collapsed="false">
      <c r="A112" s="16" t="n">
        <v>2024</v>
      </c>
      <c r="B112" s="16" t="s">
        <v>187</v>
      </c>
      <c r="C112" s="16" t="s">
        <v>188</v>
      </c>
      <c r="D112" s="16" t="s">
        <v>178</v>
      </c>
      <c r="E112" s="18" t="n">
        <v>74</v>
      </c>
      <c r="F112" s="17" t="n">
        <v>7.14</v>
      </c>
      <c r="G112" s="17" t="n">
        <v>6.91</v>
      </c>
      <c r="H112" s="17" t="n">
        <v>1.21</v>
      </c>
      <c r="I112" s="17" t="n">
        <v>5.78</v>
      </c>
      <c r="J112" s="18" t="n">
        <v>253.35</v>
      </c>
      <c r="K112" s="17" t="n">
        <v>1.73</v>
      </c>
      <c r="L112" s="22" t="n">
        <v>41400</v>
      </c>
      <c r="M112" s="18" t="n">
        <v>0</v>
      </c>
      <c r="N112" s="18" t="n">
        <v>29</v>
      </c>
      <c r="O112" s="18" t="n">
        <v>0</v>
      </c>
      <c r="P112" s="16" t="s">
        <v>198</v>
      </c>
    </row>
    <row r="113" customFormat="false" ht="15" hidden="false" customHeight="true" outlineLevel="0" collapsed="false">
      <c r="A113" s="13" t="n">
        <v>2024</v>
      </c>
      <c r="B113" s="13" t="s">
        <v>190</v>
      </c>
      <c r="C113" s="13" t="s">
        <v>177</v>
      </c>
      <c r="D113" s="13" t="s">
        <v>178</v>
      </c>
      <c r="E113" s="15" t="n">
        <v>2</v>
      </c>
      <c r="F113" s="14" t="n">
        <v>7.05</v>
      </c>
      <c r="G113" s="14" t="n">
        <v>6.9</v>
      </c>
      <c r="H113" s="14" t="n">
        <v>1.25</v>
      </c>
      <c r="I113" s="14" t="n">
        <v>5.15</v>
      </c>
      <c r="J113" s="15" t="n">
        <v>244.55</v>
      </c>
      <c r="K113" s="14" t="n">
        <v>1.8</v>
      </c>
      <c r="L113" s="22" t="n">
        <v>0</v>
      </c>
      <c r="M113" s="15" t="n">
        <v>0</v>
      </c>
      <c r="N113" s="15" t="n">
        <v>0</v>
      </c>
      <c r="O113" s="15" t="n">
        <v>0</v>
      </c>
      <c r="P113" s="13" t="s">
        <v>181</v>
      </c>
    </row>
    <row r="114" customFormat="false" ht="15" hidden="false" customHeight="true" outlineLevel="0" collapsed="false">
      <c r="A114" s="16" t="n">
        <v>2024</v>
      </c>
      <c r="B114" s="16" t="s">
        <v>191</v>
      </c>
      <c r="C114" s="16" t="s">
        <v>192</v>
      </c>
      <c r="D114" s="16" t="s">
        <v>178</v>
      </c>
      <c r="E114" s="18" t="n">
        <v>22</v>
      </c>
      <c r="F114" s="17" t="n">
        <v>7.11</v>
      </c>
      <c r="G114" s="17" t="n">
        <v>6.7</v>
      </c>
      <c r="H114" s="17" t="n">
        <v>1.22</v>
      </c>
      <c r="I114" s="17" t="n">
        <v>5.8</v>
      </c>
      <c r="J114" s="18" t="n">
        <v>252.37</v>
      </c>
      <c r="K114" s="17" t="n">
        <v>1.8</v>
      </c>
      <c r="L114" s="22" t="n">
        <v>828</v>
      </c>
      <c r="M114" s="18" t="n">
        <v>0</v>
      </c>
      <c r="N114" s="18" t="n">
        <v>5</v>
      </c>
      <c r="O114" s="18" t="n">
        <v>0</v>
      </c>
      <c r="P114" s="16" t="s">
        <v>265</v>
      </c>
    </row>
    <row r="115" customFormat="false" ht="15" hidden="false" customHeight="true" outlineLevel="0" collapsed="false">
      <c r="A115" s="13" t="n">
        <v>2024</v>
      </c>
      <c r="B115" s="13" t="s">
        <v>194</v>
      </c>
      <c r="C115" s="13" t="s">
        <v>192</v>
      </c>
      <c r="D115" s="13" t="s">
        <v>178</v>
      </c>
      <c r="E115" s="15" t="n">
        <v>403</v>
      </c>
      <c r="F115" s="14" t="n">
        <v>7.08</v>
      </c>
      <c r="G115" s="14" t="n">
        <v>6.92</v>
      </c>
      <c r="H115" s="14" t="n">
        <v>1.2</v>
      </c>
      <c r="I115" s="14" t="n">
        <v>5.19</v>
      </c>
      <c r="J115" s="15" t="n">
        <v>243.91</v>
      </c>
      <c r="K115" s="14" t="n">
        <v>1.86</v>
      </c>
      <c r="L115" s="22" t="n">
        <v>146094</v>
      </c>
      <c r="M115" s="15" t="n">
        <v>0</v>
      </c>
      <c r="N115" s="15" t="n">
        <v>469</v>
      </c>
      <c r="O115" s="15" t="n">
        <v>0</v>
      </c>
      <c r="P115" s="13" t="s">
        <v>266</v>
      </c>
    </row>
    <row r="116" customFormat="false" ht="15" hidden="false" customHeight="true" outlineLevel="0" collapsed="false">
      <c r="A116" s="16" t="n">
        <v>2024</v>
      </c>
      <c r="B116" s="16" t="s">
        <v>38</v>
      </c>
      <c r="C116" s="16" t="s">
        <v>39</v>
      </c>
      <c r="D116" s="16" t="s">
        <v>178</v>
      </c>
      <c r="E116" s="18" t="n">
        <v>42</v>
      </c>
      <c r="F116" s="17" t="n">
        <v>7.08</v>
      </c>
      <c r="G116" s="17" t="n">
        <v>6.67</v>
      </c>
      <c r="H116" s="17" t="n">
        <v>1.27</v>
      </c>
      <c r="I116" s="17" t="n">
        <v>5.52</v>
      </c>
      <c r="J116" s="18" t="n">
        <v>251</v>
      </c>
      <c r="K116" s="17" t="n">
        <v>1.76</v>
      </c>
      <c r="L116" s="22" t="n">
        <v>20206</v>
      </c>
      <c r="M116" s="18" t="n">
        <v>0</v>
      </c>
      <c r="N116" s="18" t="n">
        <v>1974</v>
      </c>
      <c r="O116" s="18" t="n">
        <v>0</v>
      </c>
      <c r="P116" s="16" t="s">
        <v>267</v>
      </c>
    </row>
    <row r="117" customFormat="false" ht="15" hidden="false" customHeight="true" outlineLevel="0" collapsed="false">
      <c r="A117" s="13" t="n">
        <v>2024</v>
      </c>
      <c r="B117" s="13" t="s">
        <v>197</v>
      </c>
      <c r="C117" s="13" t="s">
        <v>39</v>
      </c>
      <c r="D117" s="13" t="s">
        <v>178</v>
      </c>
      <c r="E117" s="15" t="n">
        <v>80</v>
      </c>
      <c r="F117" s="14" t="n">
        <v>7.15</v>
      </c>
      <c r="G117" s="14" t="n">
        <v>6.68</v>
      </c>
      <c r="H117" s="14" t="n">
        <v>1.18</v>
      </c>
      <c r="I117" s="14" t="n">
        <v>5.7</v>
      </c>
      <c r="J117" s="15" t="n">
        <v>245.43</v>
      </c>
      <c r="K117" s="14" t="n">
        <v>1.88</v>
      </c>
      <c r="L117" s="22" t="n">
        <v>70894</v>
      </c>
      <c r="M117" s="15" t="n">
        <v>0</v>
      </c>
      <c r="N117" s="15" t="n">
        <v>0</v>
      </c>
      <c r="O117" s="15" t="n">
        <v>0</v>
      </c>
      <c r="P117" s="13" t="s">
        <v>181</v>
      </c>
    </row>
    <row r="118" customFormat="false" ht="15" hidden="false" customHeight="true" outlineLevel="0" collapsed="false">
      <c r="A118" s="16" t="n">
        <v>2024</v>
      </c>
      <c r="B118" s="16" t="s">
        <v>141</v>
      </c>
      <c r="C118" s="16" t="s">
        <v>39</v>
      </c>
      <c r="D118" s="16" t="s">
        <v>178</v>
      </c>
      <c r="E118" s="18" t="n">
        <v>92</v>
      </c>
      <c r="F118" s="17" t="n">
        <v>7.15</v>
      </c>
      <c r="G118" s="17" t="n">
        <v>6.72</v>
      </c>
      <c r="H118" s="17" t="n">
        <v>1.19</v>
      </c>
      <c r="I118" s="17" t="n">
        <v>5.71</v>
      </c>
      <c r="J118" s="18" t="n">
        <v>256.7</v>
      </c>
      <c r="K118" s="17" t="n">
        <v>1.89</v>
      </c>
      <c r="L118" s="22" t="n">
        <v>89919</v>
      </c>
      <c r="M118" s="18" t="n">
        <v>0</v>
      </c>
      <c r="N118" s="18" t="n">
        <v>81</v>
      </c>
      <c r="O118" s="18" t="n">
        <v>0</v>
      </c>
      <c r="P118" s="16" t="s">
        <v>189</v>
      </c>
    </row>
    <row r="119" customFormat="false" ht="15" hidden="false" customHeight="true" outlineLevel="0" collapsed="false">
      <c r="A119" s="13" t="n">
        <v>2024</v>
      </c>
      <c r="B119" s="13" t="s">
        <v>71</v>
      </c>
      <c r="C119" s="13" t="s">
        <v>50</v>
      </c>
      <c r="D119" s="13" t="s">
        <v>178</v>
      </c>
      <c r="E119" s="15" t="n">
        <v>37</v>
      </c>
      <c r="F119" s="14" t="n">
        <v>7.14</v>
      </c>
      <c r="G119" s="14" t="n">
        <v>6.67</v>
      </c>
      <c r="H119" s="14" t="n">
        <v>1.26</v>
      </c>
      <c r="I119" s="14" t="n">
        <v>5.38</v>
      </c>
      <c r="J119" s="15" t="n">
        <v>252.8</v>
      </c>
      <c r="K119" s="14" t="n">
        <v>1.77</v>
      </c>
      <c r="L119" s="22" t="n">
        <v>79984</v>
      </c>
      <c r="M119" s="15" t="n">
        <v>0</v>
      </c>
      <c r="N119" s="15" t="n">
        <v>16</v>
      </c>
      <c r="O119" s="15" t="n">
        <v>0</v>
      </c>
      <c r="P119" s="13" t="s">
        <v>186</v>
      </c>
    </row>
    <row r="120" customFormat="false" ht="15" hidden="false" customHeight="true" outlineLevel="0" collapsed="false">
      <c r="A120" s="16" t="n">
        <v>2024</v>
      </c>
      <c r="B120" s="16" t="s">
        <v>111</v>
      </c>
      <c r="C120" s="16" t="s">
        <v>180</v>
      </c>
      <c r="D120" s="16" t="s">
        <v>178</v>
      </c>
      <c r="E120" s="18" t="n">
        <v>102</v>
      </c>
      <c r="F120" s="17" t="n">
        <v>7.11</v>
      </c>
      <c r="G120" s="17" t="n">
        <v>6.99</v>
      </c>
      <c r="H120" s="17" t="n">
        <v>1.24</v>
      </c>
      <c r="I120" s="17" t="n">
        <v>5.68</v>
      </c>
      <c r="J120" s="18" t="n">
        <v>246.48</v>
      </c>
      <c r="K120" s="17" t="n">
        <v>1.85</v>
      </c>
      <c r="L120" s="22" t="n">
        <v>89793</v>
      </c>
      <c r="M120" s="18" t="n">
        <v>0</v>
      </c>
      <c r="N120" s="18" t="n">
        <v>4064</v>
      </c>
      <c r="O120" s="18" t="n">
        <v>0</v>
      </c>
      <c r="P120" s="16" t="s">
        <v>268</v>
      </c>
    </row>
    <row r="121" customFormat="false" ht="15" hidden="false" customHeight="true" outlineLevel="0" collapsed="false">
      <c r="A121" s="13" t="n">
        <v>2024</v>
      </c>
      <c r="B121" s="13" t="s">
        <v>200</v>
      </c>
      <c r="C121" s="13" t="s">
        <v>180</v>
      </c>
      <c r="D121" s="13" t="s">
        <v>178</v>
      </c>
      <c r="E121" s="15" t="n">
        <v>89</v>
      </c>
      <c r="F121" s="14" t="n">
        <v>7.12</v>
      </c>
      <c r="G121" s="14" t="n">
        <v>6.77</v>
      </c>
      <c r="H121" s="14" t="n">
        <v>1.26</v>
      </c>
      <c r="I121" s="14" t="n">
        <v>5.52</v>
      </c>
      <c r="J121" s="15" t="n">
        <v>244.28</v>
      </c>
      <c r="K121" s="14" t="n">
        <v>1.72</v>
      </c>
      <c r="L121" s="22" t="n">
        <v>77269</v>
      </c>
      <c r="M121" s="15" t="n">
        <v>0</v>
      </c>
      <c r="N121" s="15" t="n">
        <v>9152</v>
      </c>
      <c r="O121" s="15" t="n">
        <v>0</v>
      </c>
      <c r="P121" s="13" t="s">
        <v>269</v>
      </c>
    </row>
    <row r="122" customFormat="false" ht="15" hidden="false" customHeight="true" outlineLevel="0" collapsed="false">
      <c r="A122" s="16" t="n">
        <v>2024</v>
      </c>
      <c r="B122" s="16" t="s">
        <v>202</v>
      </c>
      <c r="C122" s="16" t="s">
        <v>177</v>
      </c>
      <c r="D122" s="16" t="s">
        <v>178</v>
      </c>
      <c r="E122" s="18" t="n">
        <v>9</v>
      </c>
      <c r="F122" s="17" t="n">
        <v>7.15</v>
      </c>
      <c r="G122" s="17" t="n">
        <v>6.77</v>
      </c>
      <c r="H122" s="17" t="n">
        <v>1.29</v>
      </c>
      <c r="I122" s="17" t="n">
        <v>5.52</v>
      </c>
      <c r="J122" s="18" t="n">
        <v>253.05</v>
      </c>
      <c r="K122" s="17" t="n">
        <v>1.72</v>
      </c>
      <c r="L122" s="22" t="n">
        <v>768</v>
      </c>
      <c r="M122" s="18" t="n">
        <v>0</v>
      </c>
      <c r="N122" s="18" t="n">
        <v>16</v>
      </c>
      <c r="O122" s="18" t="n">
        <v>0</v>
      </c>
      <c r="P122" s="16" t="s">
        <v>270</v>
      </c>
    </row>
    <row r="123" customFormat="false" ht="15" hidden="false" customHeight="true" outlineLevel="0" collapsed="false">
      <c r="A123" s="13" t="n">
        <v>2024</v>
      </c>
      <c r="B123" s="13" t="s">
        <v>204</v>
      </c>
      <c r="C123" s="13" t="s">
        <v>177</v>
      </c>
      <c r="D123" s="13" t="s">
        <v>178</v>
      </c>
      <c r="E123" s="15" t="n">
        <v>8</v>
      </c>
      <c r="F123" s="14" t="n">
        <v>7.03</v>
      </c>
      <c r="G123" s="14" t="n">
        <v>7</v>
      </c>
      <c r="H123" s="14" t="n">
        <v>1.19</v>
      </c>
      <c r="I123" s="14" t="n">
        <v>5.25</v>
      </c>
      <c r="J123" s="15" t="n">
        <v>252.35</v>
      </c>
      <c r="K123" s="14" t="n">
        <v>1.71</v>
      </c>
      <c r="L123" s="22" t="n">
        <v>1249</v>
      </c>
      <c r="M123" s="15" t="n">
        <v>0</v>
      </c>
      <c r="N123" s="15" t="n">
        <v>1</v>
      </c>
      <c r="O123" s="15" t="n">
        <v>0</v>
      </c>
      <c r="P123" s="13" t="s">
        <v>205</v>
      </c>
    </row>
    <row r="124" customFormat="false" ht="15" hidden="false" customHeight="true" outlineLevel="0" collapsed="false">
      <c r="A124" s="16" t="n">
        <v>2024</v>
      </c>
      <c r="B124" s="16" t="s">
        <v>206</v>
      </c>
      <c r="C124" s="16" t="s">
        <v>188</v>
      </c>
      <c r="D124" s="16" t="s">
        <v>178</v>
      </c>
      <c r="E124" s="18" t="n">
        <v>176</v>
      </c>
      <c r="F124" s="17" t="n">
        <v>7.04</v>
      </c>
      <c r="G124" s="17" t="n">
        <v>6.97</v>
      </c>
      <c r="H124" s="17" t="n">
        <v>1.19</v>
      </c>
      <c r="I124" s="17" t="n">
        <v>5.27</v>
      </c>
      <c r="J124" s="18" t="n">
        <v>253.58</v>
      </c>
      <c r="K124" s="17" t="n">
        <v>1.8</v>
      </c>
      <c r="L124" s="22" t="n">
        <v>223266</v>
      </c>
      <c r="M124" s="18" t="n">
        <v>0</v>
      </c>
      <c r="N124" s="18" t="n">
        <v>67</v>
      </c>
      <c r="O124" s="18" t="n">
        <v>0</v>
      </c>
      <c r="P124" s="16" t="s">
        <v>207</v>
      </c>
    </row>
    <row r="125" customFormat="false" ht="15" hidden="false" customHeight="true" outlineLevel="0" collapsed="false">
      <c r="A125" s="13" t="n">
        <v>2024</v>
      </c>
      <c r="B125" s="13" t="s">
        <v>208</v>
      </c>
      <c r="C125" s="13" t="s">
        <v>192</v>
      </c>
      <c r="D125" s="13" t="s">
        <v>178</v>
      </c>
      <c r="E125" s="15" t="n">
        <v>217</v>
      </c>
      <c r="F125" s="14" t="n">
        <v>7.13</v>
      </c>
      <c r="G125" s="14" t="n">
        <v>7.21</v>
      </c>
      <c r="H125" s="14" t="n">
        <v>1.46</v>
      </c>
      <c r="I125" s="14" t="n">
        <v>7.95</v>
      </c>
      <c r="J125" s="15" t="n">
        <v>319.91</v>
      </c>
      <c r="K125" s="14" t="n">
        <v>2.13</v>
      </c>
      <c r="L125" s="22" t="n">
        <v>238437</v>
      </c>
      <c r="M125" s="15" t="n">
        <v>0</v>
      </c>
      <c r="N125" s="15" t="n">
        <v>9367</v>
      </c>
      <c r="O125" s="15" t="n">
        <v>0</v>
      </c>
      <c r="P125" s="13" t="s">
        <v>271</v>
      </c>
    </row>
    <row r="126" customFormat="false" ht="15" hidden="false" customHeight="true" outlineLevel="0" collapsed="false">
      <c r="A126" s="16" t="n">
        <v>2024</v>
      </c>
      <c r="B126" s="16" t="s">
        <v>210</v>
      </c>
      <c r="C126" s="16" t="s">
        <v>183</v>
      </c>
      <c r="D126" s="16" t="s">
        <v>178</v>
      </c>
      <c r="E126" s="18" t="n">
        <v>13</v>
      </c>
      <c r="F126" s="17" t="n">
        <v>7.03</v>
      </c>
      <c r="G126" s="17" t="n">
        <v>6.89</v>
      </c>
      <c r="H126" s="17" t="n">
        <v>1.23</v>
      </c>
      <c r="I126" s="17" t="n">
        <v>5.33</v>
      </c>
      <c r="J126" s="18" t="n">
        <v>250.77</v>
      </c>
      <c r="K126" s="17" t="n">
        <v>1.86</v>
      </c>
      <c r="L126" s="22" t="n">
        <v>8791</v>
      </c>
      <c r="M126" s="18" t="n">
        <v>0</v>
      </c>
      <c r="N126" s="18" t="n">
        <v>0</v>
      </c>
      <c r="O126" s="18" t="n">
        <v>0</v>
      </c>
      <c r="P126" s="16" t="s">
        <v>181</v>
      </c>
    </row>
    <row r="127" customFormat="false" ht="15" hidden="false" customHeight="true" outlineLevel="0" collapsed="false">
      <c r="A127" s="13" t="n">
        <v>2024</v>
      </c>
      <c r="B127" s="13" t="s">
        <v>211</v>
      </c>
      <c r="C127" s="13" t="s">
        <v>183</v>
      </c>
      <c r="D127" s="13" t="s">
        <v>178</v>
      </c>
      <c r="E127" s="15" t="n">
        <v>28</v>
      </c>
      <c r="F127" s="14" t="n">
        <v>7.16</v>
      </c>
      <c r="G127" s="14" t="n">
        <v>6.9</v>
      </c>
      <c r="H127" s="14" t="n">
        <v>1.27</v>
      </c>
      <c r="I127" s="14" t="n">
        <v>5.19</v>
      </c>
      <c r="J127" s="15" t="n">
        <v>256.64</v>
      </c>
      <c r="K127" s="14" t="n">
        <v>1.77</v>
      </c>
      <c r="L127" s="22" t="n">
        <v>22627</v>
      </c>
      <c r="M127" s="15" t="n">
        <v>0</v>
      </c>
      <c r="N127" s="15" t="n">
        <v>100</v>
      </c>
      <c r="O127" s="15" t="n">
        <v>0</v>
      </c>
      <c r="P127" s="13" t="s">
        <v>272</v>
      </c>
    </row>
    <row r="128" customFormat="false" ht="15" hidden="false" customHeight="true" outlineLevel="0" collapsed="false">
      <c r="A128" s="16" t="n">
        <v>2024</v>
      </c>
      <c r="B128" s="16" t="s">
        <v>213</v>
      </c>
      <c r="C128" s="16" t="s">
        <v>183</v>
      </c>
      <c r="D128" s="16" t="s">
        <v>178</v>
      </c>
      <c r="E128" s="18" t="n">
        <v>26</v>
      </c>
      <c r="F128" s="17" t="n">
        <v>7.07</v>
      </c>
      <c r="G128" s="17" t="n">
        <v>7</v>
      </c>
      <c r="H128" s="17" t="n">
        <v>1.24</v>
      </c>
      <c r="I128" s="17" t="n">
        <v>5.81</v>
      </c>
      <c r="J128" s="18" t="n">
        <v>247.72</v>
      </c>
      <c r="K128" s="17" t="n">
        <v>1.73</v>
      </c>
      <c r="L128" s="22" t="n">
        <v>2328</v>
      </c>
      <c r="M128" s="18" t="n">
        <v>0</v>
      </c>
      <c r="N128" s="18" t="n">
        <v>141</v>
      </c>
      <c r="O128" s="18" t="n">
        <v>0</v>
      </c>
      <c r="P128" s="16" t="s">
        <v>273</v>
      </c>
    </row>
    <row r="129" customFormat="false" ht="15" hidden="false" customHeight="true" outlineLevel="0" collapsed="false">
      <c r="A129" s="13" t="n">
        <v>2024</v>
      </c>
      <c r="B129" s="13" t="s">
        <v>215</v>
      </c>
      <c r="C129" s="13" t="s">
        <v>183</v>
      </c>
      <c r="D129" s="13" t="s">
        <v>178</v>
      </c>
      <c r="E129" s="15" t="n">
        <v>11</v>
      </c>
      <c r="F129" s="14" t="n">
        <v>7.12</v>
      </c>
      <c r="G129" s="14" t="n">
        <v>6.68</v>
      </c>
      <c r="H129" s="14" t="n">
        <v>1.2</v>
      </c>
      <c r="I129" s="14" t="n">
        <v>5.51</v>
      </c>
      <c r="J129" s="15" t="n">
        <v>249.91</v>
      </c>
      <c r="K129" s="14" t="n">
        <v>1.73</v>
      </c>
      <c r="L129" s="22" t="n">
        <v>9597</v>
      </c>
      <c r="M129" s="15" t="n">
        <v>0</v>
      </c>
      <c r="N129" s="15" t="n">
        <v>0</v>
      </c>
      <c r="O129" s="15" t="n">
        <v>0</v>
      </c>
      <c r="P129" s="13" t="s">
        <v>181</v>
      </c>
    </row>
    <row r="130" customFormat="false" ht="15" hidden="false" customHeight="true" outlineLevel="0" collapsed="false">
      <c r="A130" s="16" t="n">
        <v>2024</v>
      </c>
      <c r="B130" s="16" t="s">
        <v>49</v>
      </c>
      <c r="C130" s="16" t="s">
        <v>50</v>
      </c>
      <c r="D130" s="16" t="s">
        <v>178</v>
      </c>
      <c r="E130" s="18" t="n">
        <v>148</v>
      </c>
      <c r="F130" s="17" t="n">
        <v>7.05</v>
      </c>
      <c r="G130" s="17" t="n">
        <v>6.94</v>
      </c>
      <c r="H130" s="17" t="n">
        <v>1.23</v>
      </c>
      <c r="I130" s="17" t="n">
        <v>5.38</v>
      </c>
      <c r="J130" s="18" t="n">
        <v>243.19</v>
      </c>
      <c r="K130" s="17" t="n">
        <v>1.86</v>
      </c>
      <c r="L130" s="22" t="n">
        <v>88209</v>
      </c>
      <c r="M130" s="18" t="n">
        <v>0</v>
      </c>
      <c r="N130" s="18" t="n">
        <v>882</v>
      </c>
      <c r="O130" s="18" t="n">
        <v>0</v>
      </c>
      <c r="P130" s="16" t="s">
        <v>216</v>
      </c>
    </row>
    <row r="131" customFormat="false" ht="15" hidden="false" customHeight="true" outlineLevel="0" collapsed="false">
      <c r="A131" s="13" t="n">
        <v>2024</v>
      </c>
      <c r="B131" s="13" t="s">
        <v>217</v>
      </c>
      <c r="C131" s="13" t="s">
        <v>177</v>
      </c>
      <c r="D131" s="13" t="s">
        <v>178</v>
      </c>
      <c r="E131" s="15" t="n">
        <v>2</v>
      </c>
      <c r="F131" s="14" t="n">
        <v>7.16</v>
      </c>
      <c r="G131" s="14" t="n">
        <v>6.67</v>
      </c>
      <c r="H131" s="14" t="n">
        <v>1.25</v>
      </c>
      <c r="I131" s="14" t="n">
        <v>5.31</v>
      </c>
      <c r="J131" s="15" t="n">
        <v>254.07</v>
      </c>
      <c r="K131" s="14" t="n">
        <v>1.85</v>
      </c>
      <c r="L131" s="22" t="n">
        <v>0</v>
      </c>
      <c r="M131" s="15" t="n">
        <v>0</v>
      </c>
      <c r="N131" s="15" t="n">
        <v>0</v>
      </c>
      <c r="O131" s="15" t="n">
        <v>0</v>
      </c>
      <c r="P131" s="13" t="s">
        <v>181</v>
      </c>
    </row>
    <row r="132" customFormat="false" ht="15" hidden="false" customHeight="true" outlineLevel="0" collapsed="false">
      <c r="A132" s="16" t="n">
        <v>2024</v>
      </c>
      <c r="B132" s="16" t="s">
        <v>218</v>
      </c>
      <c r="C132" s="16" t="s">
        <v>39</v>
      </c>
      <c r="D132" s="16" t="s">
        <v>178</v>
      </c>
      <c r="E132" s="18" t="n">
        <v>31</v>
      </c>
      <c r="F132" s="17" t="n">
        <v>7.05</v>
      </c>
      <c r="G132" s="17" t="n">
        <v>6.7</v>
      </c>
      <c r="H132" s="17" t="n">
        <v>1.23</v>
      </c>
      <c r="I132" s="17" t="n">
        <v>5.7</v>
      </c>
      <c r="J132" s="18" t="n">
        <v>244.17</v>
      </c>
      <c r="K132" s="17" t="n">
        <v>1.88</v>
      </c>
      <c r="L132" s="22" t="n">
        <v>31082</v>
      </c>
      <c r="M132" s="18" t="n">
        <v>0</v>
      </c>
      <c r="N132" s="18" t="n">
        <v>333</v>
      </c>
      <c r="O132" s="18" t="n">
        <v>0</v>
      </c>
      <c r="P132" s="16" t="s">
        <v>274</v>
      </c>
    </row>
    <row r="133" customFormat="false" ht="15" hidden="false" customHeight="true" outlineLevel="0" collapsed="false">
      <c r="A133" s="13" t="n">
        <v>2024</v>
      </c>
      <c r="B133" s="13" t="s">
        <v>114</v>
      </c>
      <c r="C133" s="13" t="s">
        <v>192</v>
      </c>
      <c r="D133" s="13" t="s">
        <v>178</v>
      </c>
      <c r="E133" s="15" t="n">
        <v>76</v>
      </c>
      <c r="F133" s="14" t="n">
        <v>7.17</v>
      </c>
      <c r="G133" s="14" t="n">
        <v>6.86</v>
      </c>
      <c r="H133" s="14" t="n">
        <v>1.28</v>
      </c>
      <c r="I133" s="14" t="n">
        <v>5.69</v>
      </c>
      <c r="J133" s="15" t="n">
        <v>245.21</v>
      </c>
      <c r="K133" s="14" t="n">
        <v>1.74</v>
      </c>
      <c r="L133" s="22" t="n">
        <v>16198</v>
      </c>
      <c r="M133" s="15" t="n">
        <v>0</v>
      </c>
      <c r="N133" s="15" t="n">
        <v>1655</v>
      </c>
      <c r="O133" s="15" t="n">
        <v>0</v>
      </c>
      <c r="P133" s="13" t="s">
        <v>275</v>
      </c>
    </row>
    <row r="134" customFormat="false" ht="15" hidden="false" customHeight="true" outlineLevel="0" collapsed="false">
      <c r="A134" s="16" t="n">
        <v>2024</v>
      </c>
      <c r="B134" s="16" t="s">
        <v>221</v>
      </c>
      <c r="C134" s="16" t="s">
        <v>183</v>
      </c>
      <c r="D134" s="16" t="s">
        <v>178</v>
      </c>
      <c r="E134" s="18" t="n">
        <v>2</v>
      </c>
      <c r="F134" s="17" t="n">
        <v>7.09</v>
      </c>
      <c r="G134" s="17" t="n">
        <v>6.71</v>
      </c>
      <c r="H134" s="17" t="n">
        <v>1.29</v>
      </c>
      <c r="I134" s="17" t="n">
        <v>5.8</v>
      </c>
      <c r="J134" s="18" t="n">
        <v>244.29</v>
      </c>
      <c r="K134" s="17" t="n">
        <v>1.84</v>
      </c>
      <c r="L134" s="22" t="n">
        <v>2613</v>
      </c>
      <c r="M134" s="18" t="n">
        <v>0</v>
      </c>
      <c r="N134" s="18" t="n">
        <v>2613</v>
      </c>
      <c r="O134" s="18" t="n">
        <v>0</v>
      </c>
      <c r="P134" s="16" t="s">
        <v>276</v>
      </c>
    </row>
    <row r="135" customFormat="false" ht="15" hidden="false" customHeight="true" outlineLevel="0" collapsed="false">
      <c r="A135" s="13" t="n">
        <v>2024</v>
      </c>
      <c r="B135" s="13" t="s">
        <v>148</v>
      </c>
      <c r="C135" s="13" t="s">
        <v>180</v>
      </c>
      <c r="D135" s="13" t="s">
        <v>178</v>
      </c>
      <c r="E135" s="15" t="n">
        <v>106</v>
      </c>
      <c r="F135" s="14" t="n">
        <v>7.1</v>
      </c>
      <c r="G135" s="14" t="n">
        <v>6.79</v>
      </c>
      <c r="H135" s="14" t="n">
        <v>1.18</v>
      </c>
      <c r="I135" s="14" t="n">
        <v>5.75</v>
      </c>
      <c r="J135" s="15" t="n">
        <v>251.38</v>
      </c>
      <c r="K135" s="14" t="n">
        <v>1.86</v>
      </c>
      <c r="L135" s="22" t="n">
        <v>364927</v>
      </c>
      <c r="M135" s="15" t="n">
        <v>0</v>
      </c>
      <c r="N135" s="15" t="n">
        <v>73</v>
      </c>
      <c r="O135" s="15" t="n">
        <v>0</v>
      </c>
      <c r="P135" s="13" t="s">
        <v>186</v>
      </c>
    </row>
    <row r="136" customFormat="false" ht="15" hidden="false" customHeight="true" outlineLevel="0" collapsed="false">
      <c r="A136" s="16" t="n">
        <v>2024</v>
      </c>
      <c r="B136" s="16" t="s">
        <v>108</v>
      </c>
      <c r="C136" s="16" t="s">
        <v>180</v>
      </c>
      <c r="D136" s="16" t="s">
        <v>178</v>
      </c>
      <c r="E136" s="18" t="n">
        <v>109</v>
      </c>
      <c r="F136" s="17" t="n">
        <v>7.12</v>
      </c>
      <c r="G136" s="17" t="n">
        <v>6.82</v>
      </c>
      <c r="H136" s="17" t="n">
        <v>1.22</v>
      </c>
      <c r="I136" s="17" t="n">
        <v>5.45</v>
      </c>
      <c r="J136" s="18" t="n">
        <v>247.67</v>
      </c>
      <c r="K136" s="17" t="n">
        <v>1.75</v>
      </c>
      <c r="L136" s="22" t="n">
        <v>93779</v>
      </c>
      <c r="M136" s="18" t="n">
        <v>0</v>
      </c>
      <c r="N136" s="18" t="n">
        <v>0</v>
      </c>
      <c r="O136" s="18" t="n">
        <v>0</v>
      </c>
      <c r="P136" s="16" t="s">
        <v>181</v>
      </c>
    </row>
    <row r="137" customFormat="false" ht="15" hidden="false" customHeight="true" outlineLevel="0" collapsed="false">
      <c r="A137" s="13" t="n">
        <v>2024</v>
      </c>
      <c r="B137" s="13" t="s">
        <v>223</v>
      </c>
      <c r="C137" s="13" t="s">
        <v>183</v>
      </c>
      <c r="D137" s="13" t="s">
        <v>178</v>
      </c>
      <c r="E137" s="15" t="n">
        <v>20</v>
      </c>
      <c r="F137" s="14" t="n">
        <v>7.15</v>
      </c>
      <c r="G137" s="14" t="n">
        <v>6.72</v>
      </c>
      <c r="H137" s="14" t="n">
        <v>1.17</v>
      </c>
      <c r="I137" s="14" t="n">
        <v>5.23</v>
      </c>
      <c r="J137" s="15" t="n">
        <v>250.04</v>
      </c>
      <c r="K137" s="14" t="n">
        <v>1.75</v>
      </c>
      <c r="L137" s="22" t="n">
        <v>20979</v>
      </c>
      <c r="M137" s="15" t="n">
        <v>0</v>
      </c>
      <c r="N137" s="15" t="n">
        <v>21</v>
      </c>
      <c r="O137" s="15" t="n">
        <v>0</v>
      </c>
      <c r="P137" s="13" t="s">
        <v>242</v>
      </c>
    </row>
    <row r="138" customFormat="false" ht="15" hidden="false" customHeight="true" outlineLevel="0" collapsed="false">
      <c r="A138" s="16" t="n">
        <v>2024</v>
      </c>
      <c r="B138" s="16" t="s">
        <v>67</v>
      </c>
      <c r="C138" s="16" t="s">
        <v>39</v>
      </c>
      <c r="D138" s="16" t="s">
        <v>178</v>
      </c>
      <c r="E138" s="18" t="n">
        <v>134</v>
      </c>
      <c r="F138" s="17" t="n">
        <v>7.26</v>
      </c>
      <c r="G138" s="17" t="n">
        <v>6.38</v>
      </c>
      <c r="H138" s="17" t="n">
        <v>1.87</v>
      </c>
      <c r="I138" s="17" t="n">
        <v>10.86</v>
      </c>
      <c r="J138" s="18" t="n">
        <v>380.09</v>
      </c>
      <c r="K138" s="17" t="n">
        <v>2.46</v>
      </c>
      <c r="L138" s="22" t="n">
        <v>164168</v>
      </c>
      <c r="M138" s="18" t="n">
        <v>0</v>
      </c>
      <c r="N138" s="18" t="n">
        <v>1374</v>
      </c>
      <c r="O138" s="18" t="n">
        <v>0</v>
      </c>
      <c r="P138" s="16" t="s">
        <v>225</v>
      </c>
    </row>
    <row r="139" customFormat="false" ht="15" hidden="false" customHeight="true" outlineLevel="0" collapsed="false">
      <c r="A139" s="13" t="n">
        <v>2024</v>
      </c>
      <c r="B139" s="13" t="s">
        <v>62</v>
      </c>
      <c r="C139" s="13" t="s">
        <v>39</v>
      </c>
      <c r="D139" s="13" t="s">
        <v>178</v>
      </c>
      <c r="E139" s="15" t="n">
        <v>26</v>
      </c>
      <c r="F139" s="14" t="n">
        <v>7.08</v>
      </c>
      <c r="G139" s="14" t="n">
        <v>6.91</v>
      </c>
      <c r="H139" s="14" t="n">
        <v>1.22</v>
      </c>
      <c r="I139" s="14" t="n">
        <v>5.71</v>
      </c>
      <c r="J139" s="15" t="n">
        <v>248.89</v>
      </c>
      <c r="K139" s="14" t="n">
        <v>1.8</v>
      </c>
      <c r="L139" s="22" t="n">
        <v>40858</v>
      </c>
      <c r="M139" s="15" t="n">
        <v>0</v>
      </c>
      <c r="N139" s="15" t="n">
        <v>513</v>
      </c>
      <c r="O139" s="15" t="n">
        <v>0</v>
      </c>
      <c r="P139" s="13" t="s">
        <v>262</v>
      </c>
    </row>
    <row r="140" customFormat="false" ht="15" hidden="false" customHeight="true" outlineLevel="0" collapsed="false">
      <c r="A140" s="16" t="n">
        <v>2024</v>
      </c>
      <c r="B140" s="16" t="s">
        <v>73</v>
      </c>
      <c r="C140" s="16" t="s">
        <v>50</v>
      </c>
      <c r="D140" s="16" t="s">
        <v>178</v>
      </c>
      <c r="E140" s="18" t="n">
        <v>229</v>
      </c>
      <c r="F140" s="17" t="n">
        <v>7.1</v>
      </c>
      <c r="G140" s="17" t="n">
        <v>6.89</v>
      </c>
      <c r="H140" s="17" t="n">
        <v>1.23</v>
      </c>
      <c r="I140" s="17" t="n">
        <v>5.35</v>
      </c>
      <c r="J140" s="18" t="n">
        <v>252.43</v>
      </c>
      <c r="K140" s="17" t="n">
        <v>1.77</v>
      </c>
      <c r="L140" s="22" t="n">
        <v>64659</v>
      </c>
      <c r="M140" s="18" t="n">
        <v>0</v>
      </c>
      <c r="N140" s="18" t="n">
        <v>15039</v>
      </c>
      <c r="O140" s="18" t="n">
        <v>0</v>
      </c>
      <c r="P140" s="16" t="s">
        <v>277</v>
      </c>
    </row>
    <row r="141" customFormat="false" ht="15" hidden="false" customHeight="true" outlineLevel="0" collapsed="false">
      <c r="A141" s="13" t="n">
        <v>2025</v>
      </c>
      <c r="B141" s="13" t="s">
        <v>176</v>
      </c>
      <c r="C141" s="13" t="s">
        <v>177</v>
      </c>
      <c r="D141" s="13" t="s">
        <v>178</v>
      </c>
      <c r="E141" s="15" t="n">
        <v>11</v>
      </c>
      <c r="F141" s="14" t="n">
        <v>7.16</v>
      </c>
      <c r="G141" s="14" t="n">
        <v>6.95</v>
      </c>
      <c r="H141" s="14" t="n">
        <v>1.29</v>
      </c>
      <c r="I141" s="14" t="n">
        <v>5.38</v>
      </c>
      <c r="J141" s="15" t="n">
        <v>254.35</v>
      </c>
      <c r="K141" s="14" t="n">
        <v>1.77</v>
      </c>
      <c r="L141" s="22" t="n">
        <v>831</v>
      </c>
      <c r="M141" s="15" t="n">
        <v>0</v>
      </c>
      <c r="N141" s="15" t="n">
        <v>2</v>
      </c>
      <c r="O141" s="15" t="n">
        <v>0</v>
      </c>
      <c r="P141" s="13" t="s">
        <v>278</v>
      </c>
    </row>
    <row r="142" customFormat="false" ht="15" hidden="false" customHeight="true" outlineLevel="0" collapsed="false">
      <c r="A142" s="16" t="n">
        <v>2025</v>
      </c>
      <c r="B142" s="16" t="s">
        <v>13</v>
      </c>
      <c r="C142" s="16" t="s">
        <v>180</v>
      </c>
      <c r="D142" s="16" t="s">
        <v>178</v>
      </c>
      <c r="E142" s="18" t="n">
        <v>137</v>
      </c>
      <c r="F142" s="17" t="n">
        <v>7.06</v>
      </c>
      <c r="G142" s="17" t="n">
        <v>6.69</v>
      </c>
      <c r="H142" s="17" t="n">
        <v>1.22</v>
      </c>
      <c r="I142" s="17" t="n">
        <v>5.38</v>
      </c>
      <c r="J142" s="18" t="n">
        <v>256.54</v>
      </c>
      <c r="K142" s="17" t="n">
        <v>1.77</v>
      </c>
      <c r="L142" s="22" t="n">
        <v>89075</v>
      </c>
      <c r="M142" s="18" t="n">
        <v>0</v>
      </c>
      <c r="N142" s="18" t="n">
        <v>0</v>
      </c>
      <c r="O142" s="18" t="n">
        <v>0</v>
      </c>
      <c r="P142" s="16" t="s">
        <v>181</v>
      </c>
    </row>
    <row r="143" customFormat="false" ht="15" hidden="false" customHeight="true" outlineLevel="0" collapsed="false">
      <c r="A143" s="13" t="n">
        <v>2025</v>
      </c>
      <c r="B143" s="13" t="s">
        <v>182</v>
      </c>
      <c r="C143" s="13" t="s">
        <v>183</v>
      </c>
      <c r="D143" s="13" t="s">
        <v>178</v>
      </c>
      <c r="E143" s="15" t="n">
        <v>37</v>
      </c>
      <c r="F143" s="14" t="n">
        <v>7.15</v>
      </c>
      <c r="G143" s="14" t="n">
        <v>6.71</v>
      </c>
      <c r="H143" s="14" t="n">
        <v>1.2</v>
      </c>
      <c r="I143" s="14" t="n">
        <v>5.58</v>
      </c>
      <c r="J143" s="15" t="n">
        <v>247.94</v>
      </c>
      <c r="K143" s="14" t="n">
        <v>1.82</v>
      </c>
      <c r="L143" s="22" t="n">
        <v>32928</v>
      </c>
      <c r="M143" s="15" t="n">
        <v>0</v>
      </c>
      <c r="N143" s="15" t="n">
        <v>0</v>
      </c>
      <c r="O143" s="15" t="n">
        <v>0</v>
      </c>
      <c r="P143" s="13" t="s">
        <v>181</v>
      </c>
    </row>
    <row r="144" customFormat="false" ht="15" hidden="false" customHeight="true" outlineLevel="0" collapsed="false">
      <c r="A144" s="16" t="n">
        <v>2025</v>
      </c>
      <c r="B144" s="16" t="s">
        <v>184</v>
      </c>
      <c r="C144" s="16" t="s">
        <v>183</v>
      </c>
      <c r="D144" s="16" t="s">
        <v>178</v>
      </c>
      <c r="E144" s="18" t="n">
        <v>83</v>
      </c>
      <c r="F144" s="17" t="n">
        <v>7.13</v>
      </c>
      <c r="G144" s="17" t="n">
        <v>6.79</v>
      </c>
      <c r="H144" s="17" t="n">
        <v>1.26</v>
      </c>
      <c r="I144" s="17" t="n">
        <v>5.77</v>
      </c>
      <c r="J144" s="18" t="n">
        <v>243.76</v>
      </c>
      <c r="K144" s="17" t="n">
        <v>1.86</v>
      </c>
      <c r="L144" s="22" t="n">
        <v>68700</v>
      </c>
      <c r="M144" s="18" t="n">
        <v>0</v>
      </c>
      <c r="N144" s="18" t="n">
        <v>568</v>
      </c>
      <c r="O144" s="18" t="n">
        <v>0</v>
      </c>
      <c r="P144" s="16" t="s">
        <v>279</v>
      </c>
    </row>
    <row r="145" customFormat="false" ht="15" hidden="false" customHeight="true" outlineLevel="0" collapsed="false">
      <c r="A145" s="13" t="n">
        <v>2025</v>
      </c>
      <c r="B145" s="13" t="s">
        <v>69</v>
      </c>
      <c r="C145" s="13" t="s">
        <v>50</v>
      </c>
      <c r="D145" s="13" t="s">
        <v>178</v>
      </c>
      <c r="E145" s="15" t="n">
        <v>120</v>
      </c>
      <c r="F145" s="14" t="n">
        <v>7.41</v>
      </c>
      <c r="G145" s="14" t="n">
        <v>5.32</v>
      </c>
      <c r="H145" s="14" t="n">
        <v>2.54</v>
      </c>
      <c r="I145" s="14" t="n">
        <v>12.45</v>
      </c>
      <c r="J145" s="15" t="n">
        <v>134.45</v>
      </c>
      <c r="K145" s="14" t="n">
        <v>174.97</v>
      </c>
      <c r="L145" s="22" t="n">
        <v>69986</v>
      </c>
      <c r="M145" s="15" t="n">
        <v>0</v>
      </c>
      <c r="N145" s="15" t="n">
        <v>14</v>
      </c>
      <c r="O145" s="15" t="n">
        <v>0</v>
      </c>
      <c r="P145" s="13" t="s">
        <v>186</v>
      </c>
    </row>
    <row r="146" customFormat="false" ht="15" hidden="false" customHeight="true" outlineLevel="0" collapsed="false">
      <c r="A146" s="16" t="n">
        <v>2025</v>
      </c>
      <c r="B146" s="16" t="s">
        <v>187</v>
      </c>
      <c r="C146" s="16" t="s">
        <v>188</v>
      </c>
      <c r="D146" s="16" t="s">
        <v>178</v>
      </c>
      <c r="E146" s="18" t="n">
        <v>79</v>
      </c>
      <c r="F146" s="17" t="n">
        <v>7.1</v>
      </c>
      <c r="G146" s="17" t="n">
        <v>6.78</v>
      </c>
      <c r="H146" s="17" t="n">
        <v>1.23</v>
      </c>
      <c r="I146" s="17" t="n">
        <v>5.49</v>
      </c>
      <c r="J146" s="18" t="n">
        <v>249.14</v>
      </c>
      <c r="K146" s="17" t="n">
        <v>1.83</v>
      </c>
      <c r="L146" s="22" t="n">
        <v>39968</v>
      </c>
      <c r="M146" s="18" t="n">
        <v>0</v>
      </c>
      <c r="N146" s="18" t="n">
        <v>32</v>
      </c>
      <c r="O146" s="18" t="n">
        <v>0</v>
      </c>
      <c r="P146" s="16" t="s">
        <v>205</v>
      </c>
    </row>
    <row r="147" customFormat="false" ht="15" hidden="false" customHeight="true" outlineLevel="0" collapsed="false">
      <c r="A147" s="13" t="n">
        <v>2025</v>
      </c>
      <c r="B147" s="13" t="s">
        <v>190</v>
      </c>
      <c r="C147" s="13" t="s">
        <v>177</v>
      </c>
      <c r="D147" s="13" t="s">
        <v>178</v>
      </c>
      <c r="E147" s="15" t="n">
        <v>2</v>
      </c>
      <c r="F147" s="14" t="n">
        <v>7.04</v>
      </c>
      <c r="G147" s="14" t="n">
        <v>6.82</v>
      </c>
      <c r="H147" s="14" t="n">
        <v>1.29</v>
      </c>
      <c r="I147" s="14" t="n">
        <v>5.22</v>
      </c>
      <c r="J147" s="15" t="n">
        <v>244.38</v>
      </c>
      <c r="K147" s="14" t="n">
        <v>1.76</v>
      </c>
      <c r="L147" s="22" t="n">
        <v>0</v>
      </c>
      <c r="M147" s="15" t="n">
        <v>0</v>
      </c>
      <c r="N147" s="15" t="n">
        <v>0</v>
      </c>
      <c r="O147" s="15" t="n">
        <v>0</v>
      </c>
      <c r="P147" s="13" t="s">
        <v>181</v>
      </c>
    </row>
    <row r="148" customFormat="false" ht="15" hidden="false" customHeight="true" outlineLevel="0" collapsed="false">
      <c r="A148" s="16" t="n">
        <v>2025</v>
      </c>
      <c r="B148" s="16" t="s">
        <v>191</v>
      </c>
      <c r="C148" s="16" t="s">
        <v>192</v>
      </c>
      <c r="D148" s="16" t="s">
        <v>178</v>
      </c>
      <c r="E148" s="18" t="n">
        <v>24</v>
      </c>
      <c r="F148" s="17" t="n">
        <v>7.16</v>
      </c>
      <c r="G148" s="17" t="n">
        <v>6.81</v>
      </c>
      <c r="H148" s="17" t="n">
        <v>1.28</v>
      </c>
      <c r="I148" s="17" t="n">
        <v>5.62</v>
      </c>
      <c r="J148" s="18" t="n">
        <v>254.47</v>
      </c>
      <c r="K148" s="17" t="n">
        <v>1.76</v>
      </c>
      <c r="L148" s="22" t="n">
        <v>994</v>
      </c>
      <c r="M148" s="18" t="n">
        <v>0</v>
      </c>
      <c r="N148" s="18" t="n">
        <v>6</v>
      </c>
      <c r="O148" s="18" t="n">
        <v>0</v>
      </c>
      <c r="P148" s="16" t="s">
        <v>265</v>
      </c>
    </row>
    <row r="149" customFormat="false" ht="15" hidden="false" customHeight="true" outlineLevel="0" collapsed="false">
      <c r="A149" s="13" t="n">
        <v>2025</v>
      </c>
      <c r="B149" s="13" t="s">
        <v>194</v>
      </c>
      <c r="C149" s="13" t="s">
        <v>192</v>
      </c>
      <c r="D149" s="13" t="s">
        <v>178</v>
      </c>
      <c r="E149" s="15" t="n">
        <v>409</v>
      </c>
      <c r="F149" s="14" t="n">
        <v>7.05</v>
      </c>
      <c r="G149" s="14" t="n">
        <v>6.87</v>
      </c>
      <c r="H149" s="14" t="n">
        <v>1.2</v>
      </c>
      <c r="I149" s="14" t="n">
        <v>5.31</v>
      </c>
      <c r="J149" s="15" t="n">
        <v>251.53</v>
      </c>
      <c r="K149" s="14" t="n">
        <v>1.81</v>
      </c>
      <c r="L149" s="22" t="n">
        <v>175063</v>
      </c>
      <c r="M149" s="15" t="n">
        <v>0</v>
      </c>
      <c r="N149" s="15" t="n">
        <v>562</v>
      </c>
      <c r="O149" s="15" t="n">
        <v>0</v>
      </c>
      <c r="P149" s="13" t="s">
        <v>266</v>
      </c>
    </row>
    <row r="150" customFormat="false" ht="15" hidden="false" customHeight="true" outlineLevel="0" collapsed="false">
      <c r="A150" s="16" t="n">
        <v>2025</v>
      </c>
      <c r="B150" s="16" t="s">
        <v>38</v>
      </c>
      <c r="C150" s="16" t="s">
        <v>39</v>
      </c>
      <c r="D150" s="16" t="s">
        <v>178</v>
      </c>
      <c r="E150" s="18" t="n">
        <v>43</v>
      </c>
      <c r="F150" s="17" t="n">
        <v>7.04</v>
      </c>
      <c r="G150" s="17" t="n">
        <v>6.74</v>
      </c>
      <c r="H150" s="17" t="n">
        <v>1.26</v>
      </c>
      <c r="I150" s="17" t="n">
        <v>5.35</v>
      </c>
      <c r="J150" s="18" t="n">
        <v>246.08</v>
      </c>
      <c r="K150" s="17" t="n">
        <v>1.82</v>
      </c>
      <c r="L150" s="22" t="n">
        <v>23738</v>
      </c>
      <c r="M150" s="18" t="n">
        <v>0</v>
      </c>
      <c r="N150" s="18" t="n">
        <v>2011</v>
      </c>
      <c r="O150" s="18" t="n">
        <v>0</v>
      </c>
      <c r="P150" s="16" t="s">
        <v>280</v>
      </c>
    </row>
    <row r="151" customFormat="false" ht="15" hidden="false" customHeight="true" outlineLevel="0" collapsed="false">
      <c r="A151" s="13" t="n">
        <v>2025</v>
      </c>
      <c r="B151" s="13" t="s">
        <v>197</v>
      </c>
      <c r="C151" s="13" t="s">
        <v>39</v>
      </c>
      <c r="D151" s="13" t="s">
        <v>178</v>
      </c>
      <c r="E151" s="15" t="n">
        <v>83</v>
      </c>
      <c r="F151" s="14" t="n">
        <v>7.07</v>
      </c>
      <c r="G151" s="14" t="n">
        <v>6.92</v>
      </c>
      <c r="H151" s="14" t="n">
        <v>1.14</v>
      </c>
      <c r="I151" s="14" t="n">
        <v>5.33</v>
      </c>
      <c r="J151" s="15" t="n">
        <v>250.66</v>
      </c>
      <c r="K151" s="14" t="n">
        <v>1.81</v>
      </c>
      <c r="L151" s="22" t="n">
        <v>62894</v>
      </c>
      <c r="M151" s="15" t="n">
        <v>0</v>
      </c>
      <c r="N151" s="15" t="n">
        <v>0</v>
      </c>
      <c r="O151" s="15" t="n">
        <v>0</v>
      </c>
      <c r="P151" s="13" t="s">
        <v>181</v>
      </c>
    </row>
    <row r="152" customFormat="false" ht="15" hidden="false" customHeight="true" outlineLevel="0" collapsed="false">
      <c r="A152" s="16" t="n">
        <v>2025</v>
      </c>
      <c r="B152" s="16" t="s">
        <v>141</v>
      </c>
      <c r="C152" s="16" t="s">
        <v>39</v>
      </c>
      <c r="D152" s="16" t="s">
        <v>178</v>
      </c>
      <c r="E152" s="18" t="n">
        <v>95</v>
      </c>
      <c r="F152" s="17" t="n">
        <v>7.03</v>
      </c>
      <c r="G152" s="17" t="n">
        <v>6.61</v>
      </c>
      <c r="H152" s="17" t="n">
        <v>1.21</v>
      </c>
      <c r="I152" s="17" t="n">
        <v>5.44</v>
      </c>
      <c r="J152" s="18" t="n">
        <v>244.53</v>
      </c>
      <c r="K152" s="17" t="n">
        <v>1.79</v>
      </c>
      <c r="L152" s="22" t="n">
        <v>89919</v>
      </c>
      <c r="M152" s="18" t="n">
        <v>0</v>
      </c>
      <c r="N152" s="18" t="n">
        <v>81</v>
      </c>
      <c r="O152" s="18" t="n">
        <v>0</v>
      </c>
      <c r="P152" s="16" t="s">
        <v>189</v>
      </c>
    </row>
    <row r="153" customFormat="false" ht="15" hidden="false" customHeight="true" outlineLevel="0" collapsed="false">
      <c r="A153" s="13" t="n">
        <v>2025</v>
      </c>
      <c r="B153" s="13" t="s">
        <v>71</v>
      </c>
      <c r="C153" s="13" t="s">
        <v>50</v>
      </c>
      <c r="D153" s="13" t="s">
        <v>178</v>
      </c>
      <c r="E153" s="15" t="n">
        <v>38</v>
      </c>
      <c r="F153" s="14" t="n">
        <v>7.03</v>
      </c>
      <c r="G153" s="14" t="n">
        <v>6.84</v>
      </c>
      <c r="H153" s="14" t="n">
        <v>1.14</v>
      </c>
      <c r="I153" s="14" t="n">
        <v>5.35</v>
      </c>
      <c r="J153" s="15" t="n">
        <v>256.85</v>
      </c>
      <c r="K153" s="14" t="n">
        <v>1.82</v>
      </c>
      <c r="L153" s="22" t="n">
        <v>74985</v>
      </c>
      <c r="M153" s="15" t="n">
        <v>0</v>
      </c>
      <c r="N153" s="15" t="n">
        <v>15</v>
      </c>
      <c r="O153" s="15" t="n">
        <v>0</v>
      </c>
      <c r="P153" s="13" t="s">
        <v>186</v>
      </c>
    </row>
    <row r="154" customFormat="false" ht="15" hidden="false" customHeight="true" outlineLevel="0" collapsed="false">
      <c r="A154" s="16" t="n">
        <v>2025</v>
      </c>
      <c r="B154" s="16" t="s">
        <v>111</v>
      </c>
      <c r="C154" s="16" t="s">
        <v>180</v>
      </c>
      <c r="D154" s="16" t="s">
        <v>178</v>
      </c>
      <c r="E154" s="18" t="n">
        <v>102</v>
      </c>
      <c r="F154" s="17" t="n">
        <v>7.14</v>
      </c>
      <c r="G154" s="17" t="n">
        <v>6.62</v>
      </c>
      <c r="H154" s="17" t="n">
        <v>1.18</v>
      </c>
      <c r="I154" s="17" t="n">
        <v>5.57</v>
      </c>
      <c r="J154" s="18" t="n">
        <v>250.44</v>
      </c>
      <c r="K154" s="17" t="n">
        <v>1.81</v>
      </c>
      <c r="L154" s="22" t="n">
        <v>115004</v>
      </c>
      <c r="M154" s="18" t="n">
        <v>0</v>
      </c>
      <c r="N154" s="18" t="n">
        <v>5067</v>
      </c>
      <c r="O154" s="18" t="n">
        <v>0</v>
      </c>
      <c r="P154" s="16" t="s">
        <v>281</v>
      </c>
    </row>
    <row r="155" customFormat="false" ht="15" hidden="false" customHeight="true" outlineLevel="0" collapsed="false">
      <c r="A155" s="13" t="n">
        <v>2025</v>
      </c>
      <c r="B155" s="13" t="s">
        <v>200</v>
      </c>
      <c r="C155" s="13" t="s">
        <v>180</v>
      </c>
      <c r="D155" s="13" t="s">
        <v>178</v>
      </c>
      <c r="E155" s="15" t="n">
        <v>92</v>
      </c>
      <c r="F155" s="14" t="n">
        <v>7.12</v>
      </c>
      <c r="G155" s="14" t="n">
        <v>6.81</v>
      </c>
      <c r="H155" s="14" t="n">
        <v>1.28</v>
      </c>
      <c r="I155" s="14" t="n">
        <v>5.29</v>
      </c>
      <c r="J155" s="15" t="n">
        <v>255.62</v>
      </c>
      <c r="K155" s="14" t="n">
        <v>1.73</v>
      </c>
      <c r="L155" s="22" t="n">
        <v>89638</v>
      </c>
      <c r="M155" s="15" t="n">
        <v>0</v>
      </c>
      <c r="N155" s="15" t="n">
        <v>10304</v>
      </c>
      <c r="O155" s="15" t="n">
        <v>0</v>
      </c>
      <c r="P155" s="13" t="s">
        <v>282</v>
      </c>
    </row>
    <row r="156" customFormat="false" ht="15" hidden="false" customHeight="true" outlineLevel="0" collapsed="false">
      <c r="A156" s="16" t="n">
        <v>2025</v>
      </c>
      <c r="B156" s="16" t="s">
        <v>202</v>
      </c>
      <c r="C156" s="16" t="s">
        <v>177</v>
      </c>
      <c r="D156" s="16" t="s">
        <v>178</v>
      </c>
      <c r="E156" s="18" t="n">
        <v>9</v>
      </c>
      <c r="F156" s="17" t="n">
        <v>7.06</v>
      </c>
      <c r="G156" s="17" t="n">
        <v>6.61</v>
      </c>
      <c r="H156" s="17" t="n">
        <v>1.15</v>
      </c>
      <c r="I156" s="17" t="n">
        <v>5.17</v>
      </c>
      <c r="J156" s="18" t="n">
        <v>252.3</v>
      </c>
      <c r="K156" s="17" t="n">
        <v>1.72</v>
      </c>
      <c r="L156" s="22" t="n">
        <v>793</v>
      </c>
      <c r="M156" s="18" t="n">
        <v>0</v>
      </c>
      <c r="N156" s="18" t="n">
        <v>20</v>
      </c>
      <c r="O156" s="18" t="n">
        <v>0</v>
      </c>
      <c r="P156" s="16" t="s">
        <v>283</v>
      </c>
    </row>
    <row r="157" customFormat="false" ht="15" hidden="false" customHeight="true" outlineLevel="0" collapsed="false">
      <c r="A157" s="13" t="n">
        <v>2025</v>
      </c>
      <c r="B157" s="13" t="s">
        <v>204</v>
      </c>
      <c r="C157" s="13" t="s">
        <v>177</v>
      </c>
      <c r="D157" s="13" t="s">
        <v>178</v>
      </c>
      <c r="E157" s="15" t="n">
        <v>9</v>
      </c>
      <c r="F157" s="14" t="n">
        <v>7.09</v>
      </c>
      <c r="G157" s="14" t="n">
        <v>6.93</v>
      </c>
      <c r="H157" s="14" t="n">
        <v>1.28</v>
      </c>
      <c r="I157" s="14" t="n">
        <v>5.51</v>
      </c>
      <c r="J157" s="15" t="n">
        <v>246.75</v>
      </c>
      <c r="K157" s="14" t="n">
        <v>1.86</v>
      </c>
      <c r="L157" s="22" t="n">
        <v>1249</v>
      </c>
      <c r="M157" s="15" t="n">
        <v>0</v>
      </c>
      <c r="N157" s="15" t="n">
        <v>1</v>
      </c>
      <c r="O157" s="15" t="n">
        <v>0</v>
      </c>
      <c r="P157" s="13" t="s">
        <v>205</v>
      </c>
    </row>
    <row r="158" customFormat="false" ht="15" hidden="false" customHeight="true" outlineLevel="0" collapsed="false">
      <c r="A158" s="16" t="n">
        <v>2025</v>
      </c>
      <c r="B158" s="16" t="s">
        <v>206</v>
      </c>
      <c r="C158" s="16" t="s">
        <v>188</v>
      </c>
      <c r="D158" s="16" t="s">
        <v>178</v>
      </c>
      <c r="E158" s="18" t="n">
        <v>183</v>
      </c>
      <c r="F158" s="17" t="n">
        <v>7.03</v>
      </c>
      <c r="G158" s="17" t="n">
        <v>6.7</v>
      </c>
      <c r="H158" s="17" t="n">
        <v>1.27</v>
      </c>
      <c r="I158" s="17" t="n">
        <v>5.71</v>
      </c>
      <c r="J158" s="18" t="n">
        <v>245.15</v>
      </c>
      <c r="K158" s="17" t="n">
        <v>1.89</v>
      </c>
      <c r="L158" s="22" t="n">
        <v>206605</v>
      </c>
      <c r="M158" s="18" t="n">
        <v>0</v>
      </c>
      <c r="N158" s="18" t="n">
        <v>62</v>
      </c>
      <c r="O158" s="18" t="n">
        <v>0</v>
      </c>
      <c r="P158" s="16" t="s">
        <v>207</v>
      </c>
    </row>
    <row r="159" customFormat="false" ht="15" hidden="false" customHeight="true" outlineLevel="0" collapsed="false">
      <c r="A159" s="13" t="n">
        <v>2025</v>
      </c>
      <c r="B159" s="13" t="s">
        <v>208</v>
      </c>
      <c r="C159" s="13" t="s">
        <v>192</v>
      </c>
      <c r="D159" s="13" t="s">
        <v>178</v>
      </c>
      <c r="E159" s="15" t="n">
        <v>219</v>
      </c>
      <c r="F159" s="14" t="n">
        <v>7.16</v>
      </c>
      <c r="G159" s="14" t="n">
        <v>6.97</v>
      </c>
      <c r="H159" s="14" t="n">
        <v>1.58</v>
      </c>
      <c r="I159" s="14" t="n">
        <v>8.39</v>
      </c>
      <c r="J159" s="15" t="n">
        <v>317.52</v>
      </c>
      <c r="K159" s="14" t="n">
        <v>2.19</v>
      </c>
      <c r="L159" s="22" t="n">
        <v>241090</v>
      </c>
      <c r="M159" s="15" t="n">
        <v>0</v>
      </c>
      <c r="N159" s="15" t="n">
        <v>10859</v>
      </c>
      <c r="O159" s="15" t="n">
        <v>0</v>
      </c>
      <c r="P159" s="13" t="s">
        <v>284</v>
      </c>
    </row>
    <row r="160" customFormat="false" ht="15" hidden="false" customHeight="true" outlineLevel="0" collapsed="false">
      <c r="A160" s="16" t="n">
        <v>2025</v>
      </c>
      <c r="B160" s="16" t="s">
        <v>210</v>
      </c>
      <c r="C160" s="16" t="s">
        <v>183</v>
      </c>
      <c r="D160" s="16" t="s">
        <v>178</v>
      </c>
      <c r="E160" s="18" t="n">
        <v>13</v>
      </c>
      <c r="F160" s="17" t="n">
        <v>7.04</v>
      </c>
      <c r="G160" s="17" t="n">
        <v>6.91</v>
      </c>
      <c r="H160" s="17" t="n">
        <v>1.22</v>
      </c>
      <c r="I160" s="17" t="n">
        <v>5.53</v>
      </c>
      <c r="J160" s="18" t="n">
        <v>247.68</v>
      </c>
      <c r="K160" s="17" t="n">
        <v>1.71</v>
      </c>
      <c r="L160" s="22" t="n">
        <v>6735</v>
      </c>
      <c r="M160" s="18" t="n">
        <v>0</v>
      </c>
      <c r="N160" s="18" t="n">
        <v>0</v>
      </c>
      <c r="O160" s="18" t="n">
        <v>0</v>
      </c>
      <c r="P160" s="16" t="s">
        <v>181</v>
      </c>
    </row>
    <row r="161" customFormat="false" ht="15" hidden="false" customHeight="true" outlineLevel="0" collapsed="false">
      <c r="A161" s="13" t="n">
        <v>2025</v>
      </c>
      <c r="B161" s="13" t="s">
        <v>211</v>
      </c>
      <c r="C161" s="13" t="s">
        <v>183</v>
      </c>
      <c r="D161" s="13" t="s">
        <v>178</v>
      </c>
      <c r="E161" s="15" t="n">
        <v>29</v>
      </c>
      <c r="F161" s="14" t="n">
        <v>7.04</v>
      </c>
      <c r="G161" s="14" t="n">
        <v>6.68</v>
      </c>
      <c r="H161" s="14" t="n">
        <v>1.22</v>
      </c>
      <c r="I161" s="14" t="n">
        <v>5.46</v>
      </c>
      <c r="J161" s="15" t="n">
        <v>250.04</v>
      </c>
      <c r="K161" s="14" t="n">
        <v>1.83</v>
      </c>
      <c r="L161" s="22" t="n">
        <v>27153</v>
      </c>
      <c r="M161" s="15" t="n">
        <v>0</v>
      </c>
      <c r="N161" s="15" t="n">
        <v>120</v>
      </c>
      <c r="O161" s="15" t="n">
        <v>0</v>
      </c>
      <c r="P161" s="13" t="s">
        <v>272</v>
      </c>
    </row>
    <row r="162" customFormat="false" ht="15" hidden="false" customHeight="true" outlineLevel="0" collapsed="false">
      <c r="A162" s="16" t="n">
        <v>2025</v>
      </c>
      <c r="B162" s="16" t="s">
        <v>213</v>
      </c>
      <c r="C162" s="16" t="s">
        <v>183</v>
      </c>
      <c r="D162" s="16" t="s">
        <v>178</v>
      </c>
      <c r="E162" s="18" t="n">
        <v>28</v>
      </c>
      <c r="F162" s="17" t="n">
        <v>7.08</v>
      </c>
      <c r="G162" s="17" t="n">
        <v>6.67</v>
      </c>
      <c r="H162" s="17" t="n">
        <v>1.23</v>
      </c>
      <c r="I162" s="17" t="n">
        <v>5.74</v>
      </c>
      <c r="J162" s="18" t="n">
        <v>246.37</v>
      </c>
      <c r="K162" s="17" t="n">
        <v>1.79</v>
      </c>
      <c r="L162" s="22" t="n">
        <v>2170</v>
      </c>
      <c r="M162" s="18" t="n">
        <v>0</v>
      </c>
      <c r="N162" s="18" t="n">
        <v>138</v>
      </c>
      <c r="O162" s="18" t="n">
        <v>0</v>
      </c>
      <c r="P162" s="16" t="s">
        <v>285</v>
      </c>
    </row>
    <row r="163" customFormat="false" ht="15" hidden="false" customHeight="true" outlineLevel="0" collapsed="false">
      <c r="A163" s="13" t="n">
        <v>2025</v>
      </c>
      <c r="B163" s="13" t="s">
        <v>215</v>
      </c>
      <c r="C163" s="13" t="s">
        <v>183</v>
      </c>
      <c r="D163" s="13" t="s">
        <v>178</v>
      </c>
      <c r="E163" s="15" t="n">
        <v>12</v>
      </c>
      <c r="F163" s="14" t="n">
        <v>7.08</v>
      </c>
      <c r="G163" s="14" t="n">
        <v>6.64</v>
      </c>
      <c r="H163" s="14" t="n">
        <v>1.18</v>
      </c>
      <c r="I163" s="14" t="n">
        <v>5.24</v>
      </c>
      <c r="J163" s="15" t="n">
        <v>249.61</v>
      </c>
      <c r="K163" s="14" t="n">
        <v>1.84</v>
      </c>
      <c r="L163" s="22" t="n">
        <v>5941</v>
      </c>
      <c r="M163" s="15" t="n">
        <v>0</v>
      </c>
      <c r="N163" s="15" t="n">
        <v>0</v>
      </c>
      <c r="O163" s="15" t="n">
        <v>0</v>
      </c>
      <c r="P163" s="13" t="s">
        <v>181</v>
      </c>
    </row>
    <row r="164" customFormat="false" ht="15" hidden="false" customHeight="true" outlineLevel="0" collapsed="false">
      <c r="A164" s="16" t="n">
        <v>2025</v>
      </c>
      <c r="B164" s="16" t="s">
        <v>49</v>
      </c>
      <c r="C164" s="16" t="s">
        <v>50</v>
      </c>
      <c r="D164" s="16" t="s">
        <v>178</v>
      </c>
      <c r="E164" s="18" t="n">
        <v>151</v>
      </c>
      <c r="F164" s="17" t="n">
        <v>7.14</v>
      </c>
      <c r="G164" s="17" t="n">
        <v>6.92</v>
      </c>
      <c r="H164" s="17" t="n">
        <v>1.27</v>
      </c>
      <c r="I164" s="17" t="n">
        <v>5.72</v>
      </c>
      <c r="J164" s="18" t="n">
        <v>251.95</v>
      </c>
      <c r="K164" s="17" t="n">
        <v>1.73</v>
      </c>
      <c r="L164" s="22" t="n">
        <v>103810</v>
      </c>
      <c r="M164" s="18" t="n">
        <v>0</v>
      </c>
      <c r="N164" s="18" t="n">
        <v>1038</v>
      </c>
      <c r="O164" s="18" t="n">
        <v>0</v>
      </c>
      <c r="P164" s="16" t="s">
        <v>216</v>
      </c>
    </row>
    <row r="165" customFormat="false" ht="15" hidden="false" customHeight="true" outlineLevel="0" collapsed="false">
      <c r="A165" s="13" t="n">
        <v>2025</v>
      </c>
      <c r="B165" s="13" t="s">
        <v>217</v>
      </c>
      <c r="C165" s="13" t="s">
        <v>177</v>
      </c>
      <c r="D165" s="13" t="s">
        <v>178</v>
      </c>
      <c r="E165" s="15" t="n">
        <v>2</v>
      </c>
      <c r="F165" s="14" t="n">
        <v>7.14</v>
      </c>
      <c r="G165" s="14" t="n">
        <v>6.96</v>
      </c>
      <c r="H165" s="14" t="n">
        <v>1.19</v>
      </c>
      <c r="I165" s="14" t="n">
        <v>5.34</v>
      </c>
      <c r="J165" s="15" t="n">
        <v>257.08</v>
      </c>
      <c r="K165" s="14" t="n">
        <v>1.86</v>
      </c>
      <c r="L165" s="22" t="n">
        <v>0</v>
      </c>
      <c r="M165" s="15" t="n">
        <v>0</v>
      </c>
      <c r="N165" s="15" t="n">
        <v>0</v>
      </c>
      <c r="O165" s="15" t="n">
        <v>0</v>
      </c>
      <c r="P165" s="13" t="s">
        <v>181</v>
      </c>
    </row>
    <row r="166" customFormat="false" ht="15" hidden="false" customHeight="true" outlineLevel="0" collapsed="false">
      <c r="A166" s="16" t="n">
        <v>2025</v>
      </c>
      <c r="B166" s="16" t="s">
        <v>218</v>
      </c>
      <c r="C166" s="16" t="s">
        <v>39</v>
      </c>
      <c r="D166" s="16" t="s">
        <v>178</v>
      </c>
      <c r="E166" s="18" t="n">
        <v>33</v>
      </c>
      <c r="F166" s="17" t="n">
        <v>7.17</v>
      </c>
      <c r="G166" s="17" t="n">
        <v>6.64</v>
      </c>
      <c r="H166" s="17" t="n">
        <v>1.18</v>
      </c>
      <c r="I166" s="17" t="n">
        <v>5.27</v>
      </c>
      <c r="J166" s="18" t="n">
        <v>242.61</v>
      </c>
      <c r="K166" s="17" t="n">
        <v>1.77</v>
      </c>
      <c r="L166" s="22" t="n">
        <v>25401</v>
      </c>
      <c r="M166" s="18" t="n">
        <v>0</v>
      </c>
      <c r="N166" s="18" t="n">
        <v>345</v>
      </c>
      <c r="O166" s="18" t="n">
        <v>0</v>
      </c>
      <c r="P166" s="16" t="s">
        <v>286</v>
      </c>
    </row>
    <row r="167" customFormat="false" ht="15" hidden="false" customHeight="true" outlineLevel="0" collapsed="false">
      <c r="A167" s="13" t="n">
        <v>2025</v>
      </c>
      <c r="B167" s="13" t="s">
        <v>114</v>
      </c>
      <c r="C167" s="13" t="s">
        <v>192</v>
      </c>
      <c r="D167" s="13" t="s">
        <v>178</v>
      </c>
      <c r="E167" s="15" t="n">
        <v>77</v>
      </c>
      <c r="F167" s="14" t="n">
        <v>7.06</v>
      </c>
      <c r="G167" s="14" t="n">
        <v>6.7</v>
      </c>
      <c r="H167" s="14" t="n">
        <v>1.15</v>
      </c>
      <c r="I167" s="14" t="n">
        <v>5.38</v>
      </c>
      <c r="J167" s="15" t="n">
        <v>254.18</v>
      </c>
      <c r="K167" s="14" t="n">
        <v>1.87</v>
      </c>
      <c r="L167" s="22" t="n">
        <v>15808</v>
      </c>
      <c r="M167" s="15" t="n">
        <v>0</v>
      </c>
      <c r="N167" s="15" t="n">
        <v>1776</v>
      </c>
      <c r="O167" s="15" t="n">
        <v>0</v>
      </c>
      <c r="P167" s="13" t="s">
        <v>287</v>
      </c>
    </row>
    <row r="168" customFormat="false" ht="15" hidden="false" customHeight="true" outlineLevel="0" collapsed="false">
      <c r="A168" s="16" t="n">
        <v>2025</v>
      </c>
      <c r="B168" s="16" t="s">
        <v>221</v>
      </c>
      <c r="C168" s="16" t="s">
        <v>183</v>
      </c>
      <c r="D168" s="16" t="s">
        <v>178</v>
      </c>
      <c r="E168" s="18" t="n">
        <v>2</v>
      </c>
      <c r="F168" s="17" t="n">
        <v>7.14</v>
      </c>
      <c r="G168" s="17" t="n">
        <v>6.85</v>
      </c>
      <c r="H168" s="17" t="n">
        <v>1.21</v>
      </c>
      <c r="I168" s="17" t="n">
        <v>5.2</v>
      </c>
      <c r="J168" s="18" t="n">
        <v>248.26</v>
      </c>
      <c r="K168" s="17" t="n">
        <v>1.83</v>
      </c>
      <c r="L168" s="22" t="n">
        <v>2992</v>
      </c>
      <c r="M168" s="18" t="n">
        <v>0</v>
      </c>
      <c r="N168" s="18" t="n">
        <v>2992</v>
      </c>
      <c r="O168" s="18" t="n">
        <v>0</v>
      </c>
      <c r="P168" s="16" t="s">
        <v>288</v>
      </c>
    </row>
    <row r="169" customFormat="false" ht="15" hidden="false" customHeight="true" outlineLevel="0" collapsed="false">
      <c r="A169" s="13" t="n">
        <v>2025</v>
      </c>
      <c r="B169" s="13" t="s">
        <v>148</v>
      </c>
      <c r="C169" s="13" t="s">
        <v>180</v>
      </c>
      <c r="D169" s="13" t="s">
        <v>178</v>
      </c>
      <c r="E169" s="15" t="n">
        <v>107</v>
      </c>
      <c r="F169" s="14" t="n">
        <v>7.08</v>
      </c>
      <c r="G169" s="14" t="n">
        <v>6.62</v>
      </c>
      <c r="H169" s="14" t="n">
        <v>1.14</v>
      </c>
      <c r="I169" s="14" t="n">
        <v>5.64</v>
      </c>
      <c r="J169" s="15" t="n">
        <v>245.57</v>
      </c>
      <c r="K169" s="14" t="n">
        <v>1.74</v>
      </c>
      <c r="L169" s="22" t="n">
        <v>369926</v>
      </c>
      <c r="M169" s="15" t="n">
        <v>0</v>
      </c>
      <c r="N169" s="15" t="n">
        <v>74</v>
      </c>
      <c r="O169" s="15" t="n">
        <v>0</v>
      </c>
      <c r="P169" s="13" t="s">
        <v>186</v>
      </c>
    </row>
    <row r="170" customFormat="false" ht="15" hidden="false" customHeight="true" outlineLevel="0" collapsed="false">
      <c r="A170" s="16" t="n">
        <v>2025</v>
      </c>
      <c r="B170" s="16" t="s">
        <v>108</v>
      </c>
      <c r="C170" s="16" t="s">
        <v>180</v>
      </c>
      <c r="D170" s="16" t="s">
        <v>178</v>
      </c>
      <c r="E170" s="18" t="n">
        <v>115</v>
      </c>
      <c r="F170" s="17" t="n">
        <v>7.06</v>
      </c>
      <c r="G170" s="17" t="n">
        <v>6.83</v>
      </c>
      <c r="H170" s="17" t="n">
        <v>1.18</v>
      </c>
      <c r="I170" s="17" t="n">
        <v>5.58</v>
      </c>
      <c r="J170" s="18" t="n">
        <v>248.66</v>
      </c>
      <c r="K170" s="17" t="n">
        <v>1.71</v>
      </c>
      <c r="L170" s="22" t="n">
        <v>58066</v>
      </c>
      <c r="M170" s="18" t="n">
        <v>0</v>
      </c>
      <c r="N170" s="18" t="n">
        <v>0</v>
      </c>
      <c r="O170" s="18" t="n">
        <v>0</v>
      </c>
      <c r="P170" s="16" t="s">
        <v>181</v>
      </c>
    </row>
    <row r="171" customFormat="false" ht="15" hidden="false" customHeight="true" outlineLevel="0" collapsed="false">
      <c r="A171" s="13" t="n">
        <v>2025</v>
      </c>
      <c r="B171" s="13" t="s">
        <v>223</v>
      </c>
      <c r="C171" s="13" t="s">
        <v>183</v>
      </c>
      <c r="D171" s="13" t="s">
        <v>178</v>
      </c>
      <c r="E171" s="15" t="n">
        <v>20</v>
      </c>
      <c r="F171" s="14" t="n">
        <v>7.04</v>
      </c>
      <c r="G171" s="14" t="n">
        <v>6.88</v>
      </c>
      <c r="H171" s="14" t="n">
        <v>1.16</v>
      </c>
      <c r="I171" s="14" t="n">
        <v>5.15</v>
      </c>
      <c r="J171" s="15" t="n">
        <v>242.77</v>
      </c>
      <c r="K171" s="14" t="n">
        <v>1.84</v>
      </c>
      <c r="L171" s="22" t="n">
        <v>23976</v>
      </c>
      <c r="M171" s="15" t="n">
        <v>0</v>
      </c>
      <c r="N171" s="15" t="n">
        <v>24</v>
      </c>
      <c r="O171" s="15" t="n">
        <v>0</v>
      </c>
      <c r="P171" s="13" t="s">
        <v>242</v>
      </c>
    </row>
    <row r="172" customFormat="false" ht="15" hidden="false" customHeight="true" outlineLevel="0" collapsed="false">
      <c r="A172" s="16" t="n">
        <v>2025</v>
      </c>
      <c r="B172" s="16" t="s">
        <v>67</v>
      </c>
      <c r="C172" s="16" t="s">
        <v>39</v>
      </c>
      <c r="D172" s="16" t="s">
        <v>178</v>
      </c>
      <c r="E172" s="18" t="n">
        <v>140</v>
      </c>
      <c r="F172" s="17" t="n">
        <v>7.37</v>
      </c>
      <c r="G172" s="17" t="n">
        <v>6.56</v>
      </c>
      <c r="H172" s="17" t="n">
        <v>1.97</v>
      </c>
      <c r="I172" s="17" t="n">
        <v>10.54</v>
      </c>
      <c r="J172" s="18" t="n">
        <v>390.81</v>
      </c>
      <c r="K172" s="17" t="n">
        <v>2.6</v>
      </c>
      <c r="L172" s="22" t="n">
        <v>178297</v>
      </c>
      <c r="M172" s="18" t="n">
        <v>0</v>
      </c>
      <c r="N172" s="18" t="n">
        <v>1456</v>
      </c>
      <c r="O172" s="18" t="n">
        <v>0</v>
      </c>
      <c r="P172" s="16" t="s">
        <v>289</v>
      </c>
    </row>
    <row r="173" customFormat="false" ht="15" hidden="false" customHeight="true" outlineLevel="0" collapsed="false">
      <c r="A173" s="13" t="n">
        <v>2025</v>
      </c>
      <c r="B173" s="13" t="s">
        <v>62</v>
      </c>
      <c r="C173" s="13" t="s">
        <v>39</v>
      </c>
      <c r="D173" s="13" t="s">
        <v>178</v>
      </c>
      <c r="E173" s="15" t="n">
        <v>27</v>
      </c>
      <c r="F173" s="14" t="n">
        <v>7.12</v>
      </c>
      <c r="G173" s="14" t="n">
        <v>6.85</v>
      </c>
      <c r="H173" s="14" t="n">
        <v>1.2</v>
      </c>
      <c r="I173" s="14" t="n">
        <v>5.22</v>
      </c>
      <c r="J173" s="15" t="n">
        <v>255.44</v>
      </c>
      <c r="K173" s="14" t="n">
        <v>1.77</v>
      </c>
      <c r="L173" s="22" t="n">
        <v>39317</v>
      </c>
      <c r="M173" s="15" t="n">
        <v>0</v>
      </c>
      <c r="N173" s="15" t="n">
        <v>534</v>
      </c>
      <c r="O173" s="15" t="n">
        <v>0</v>
      </c>
      <c r="P173" s="13" t="s">
        <v>286</v>
      </c>
    </row>
    <row r="174" customFormat="false" ht="15" hidden="false" customHeight="true" outlineLevel="0" collapsed="false">
      <c r="A174" s="16" t="n">
        <v>2025</v>
      </c>
      <c r="B174" s="16" t="s">
        <v>73</v>
      </c>
      <c r="C174" s="16" t="s">
        <v>50</v>
      </c>
      <c r="D174" s="16" t="s">
        <v>178</v>
      </c>
      <c r="E174" s="18" t="n">
        <v>241</v>
      </c>
      <c r="F174" s="17" t="n">
        <v>7.06</v>
      </c>
      <c r="G174" s="17" t="n">
        <v>6.63</v>
      </c>
      <c r="H174" s="17" t="n">
        <v>1.16</v>
      </c>
      <c r="I174" s="17" t="n">
        <v>5.77</v>
      </c>
      <c r="J174" s="18" t="n">
        <v>246.53</v>
      </c>
      <c r="K174" s="17" t="n">
        <v>1.81</v>
      </c>
      <c r="L174" s="22" t="n">
        <v>69765</v>
      </c>
      <c r="M174" s="18" t="n">
        <v>0</v>
      </c>
      <c r="N174" s="18" t="n">
        <v>17148</v>
      </c>
      <c r="O174" s="18" t="n">
        <v>0</v>
      </c>
      <c r="P174" s="16" t="s">
        <v>290</v>
      </c>
    </row>
    <row r="175" customFormat="false" ht="15" hidden="false" customHeight="true" outlineLevel="0" collapsed="false">
      <c r="A175" s="13" t="n">
        <v>2026</v>
      </c>
      <c r="B175" s="13" t="s">
        <v>176</v>
      </c>
      <c r="C175" s="13" t="s">
        <v>177</v>
      </c>
      <c r="D175" s="13" t="s">
        <v>178</v>
      </c>
      <c r="E175" s="15" t="n">
        <v>11</v>
      </c>
      <c r="F175" s="14" t="n">
        <v>7.1</v>
      </c>
      <c r="G175" s="14" t="n">
        <v>6.8</v>
      </c>
      <c r="H175" s="14" t="n">
        <v>1.2</v>
      </c>
      <c r="I175" s="14" t="n">
        <v>5.4</v>
      </c>
      <c r="J175" s="15" t="n">
        <v>250</v>
      </c>
      <c r="K175" s="14" t="n">
        <v>1.8</v>
      </c>
      <c r="L175" s="22" t="n">
        <v>868</v>
      </c>
      <c r="M175" s="15" t="n">
        <v>0</v>
      </c>
      <c r="N175" s="15" t="n">
        <v>2</v>
      </c>
      <c r="O175" s="15" t="n">
        <v>0</v>
      </c>
      <c r="P175" s="13" t="s">
        <v>246</v>
      </c>
    </row>
    <row r="176" customFormat="false" ht="15" hidden="false" customHeight="true" outlineLevel="0" collapsed="false">
      <c r="A176" s="16" t="n">
        <v>2026</v>
      </c>
      <c r="B176" s="16" t="s">
        <v>13</v>
      </c>
      <c r="C176" s="16" t="s">
        <v>180</v>
      </c>
      <c r="D176" s="16" t="s">
        <v>178</v>
      </c>
      <c r="E176" s="18" t="n">
        <v>138</v>
      </c>
      <c r="F176" s="17" t="n">
        <v>7.1</v>
      </c>
      <c r="G176" s="17" t="n">
        <v>6.8</v>
      </c>
      <c r="H176" s="17" t="n">
        <v>1.2</v>
      </c>
      <c r="I176" s="17" t="n">
        <v>5.4</v>
      </c>
      <c r="J176" s="18" t="n">
        <v>250</v>
      </c>
      <c r="K176" s="17" t="n">
        <v>1.8</v>
      </c>
      <c r="L176" s="22" t="n">
        <v>104214</v>
      </c>
      <c r="M176" s="18" t="n">
        <v>0</v>
      </c>
      <c r="N176" s="18" t="n">
        <v>0</v>
      </c>
      <c r="O176" s="18" t="n">
        <v>0</v>
      </c>
      <c r="P176" s="16" t="s">
        <v>181</v>
      </c>
    </row>
    <row r="177" customFormat="false" ht="15" hidden="false" customHeight="true" outlineLevel="0" collapsed="false">
      <c r="A177" s="13" t="n">
        <v>2026</v>
      </c>
      <c r="B177" s="13" t="s">
        <v>182</v>
      </c>
      <c r="C177" s="13" t="s">
        <v>183</v>
      </c>
      <c r="D177" s="13" t="s">
        <v>178</v>
      </c>
      <c r="E177" s="15" t="n">
        <v>38</v>
      </c>
      <c r="F177" s="14" t="n">
        <v>7.1</v>
      </c>
      <c r="G177" s="14" t="n">
        <v>6.8</v>
      </c>
      <c r="H177" s="14" t="n">
        <v>1.2</v>
      </c>
      <c r="I177" s="14" t="n">
        <v>5.4</v>
      </c>
      <c r="J177" s="15" t="n">
        <v>250</v>
      </c>
      <c r="K177" s="14" t="n">
        <v>1.8</v>
      </c>
      <c r="L177" s="22" t="n">
        <v>19649</v>
      </c>
      <c r="M177" s="15" t="n">
        <v>0</v>
      </c>
      <c r="N177" s="15" t="n">
        <v>0</v>
      </c>
      <c r="O177" s="15" t="n">
        <v>0</v>
      </c>
      <c r="P177" s="13" t="s">
        <v>181</v>
      </c>
    </row>
    <row r="178" customFormat="false" ht="15" hidden="false" customHeight="true" outlineLevel="0" collapsed="false">
      <c r="A178" s="16" t="n">
        <v>2026</v>
      </c>
      <c r="B178" s="16" t="s">
        <v>184</v>
      </c>
      <c r="C178" s="16" t="s">
        <v>183</v>
      </c>
      <c r="D178" s="16" t="s">
        <v>178</v>
      </c>
      <c r="E178" s="18" t="n">
        <v>86</v>
      </c>
      <c r="F178" s="17" t="n">
        <v>7.1</v>
      </c>
      <c r="G178" s="17" t="n">
        <v>6.8</v>
      </c>
      <c r="H178" s="17" t="n">
        <v>1.2</v>
      </c>
      <c r="I178" s="17" t="n">
        <v>5.4</v>
      </c>
      <c r="J178" s="18" t="n">
        <v>250</v>
      </c>
      <c r="K178" s="17" t="n">
        <v>1.8</v>
      </c>
      <c r="L178" s="22" t="n">
        <v>73175</v>
      </c>
      <c r="M178" s="18" t="n">
        <v>0</v>
      </c>
      <c r="N178" s="18" t="n">
        <v>605</v>
      </c>
      <c r="O178" s="18" t="n">
        <v>0</v>
      </c>
      <c r="P178" s="16" t="s">
        <v>279</v>
      </c>
    </row>
    <row r="179" customFormat="false" ht="15" hidden="false" customHeight="true" outlineLevel="0" collapsed="false">
      <c r="A179" s="13" t="n">
        <v>2026</v>
      </c>
      <c r="B179" s="13" t="s">
        <v>69</v>
      </c>
      <c r="C179" s="13" t="s">
        <v>50</v>
      </c>
      <c r="D179" s="13" t="s">
        <v>178</v>
      </c>
      <c r="E179" s="15" t="n">
        <v>123</v>
      </c>
      <c r="F179" s="14" t="n">
        <v>7.4</v>
      </c>
      <c r="G179" s="14" t="n">
        <v>5.38</v>
      </c>
      <c r="H179" s="14" t="n">
        <v>2.58</v>
      </c>
      <c r="I179" s="14" t="n">
        <v>12.28</v>
      </c>
      <c r="J179" s="15" t="n">
        <v>132.88</v>
      </c>
      <c r="K179" s="14" t="n">
        <v>173.25</v>
      </c>
      <c r="L179" s="22" t="n">
        <v>69986</v>
      </c>
      <c r="M179" s="15" t="n">
        <v>0</v>
      </c>
      <c r="N179" s="15" t="n">
        <v>14</v>
      </c>
      <c r="O179" s="15" t="n">
        <v>0</v>
      </c>
      <c r="P179" s="13" t="s">
        <v>186</v>
      </c>
    </row>
    <row r="180" customFormat="false" ht="15" hidden="false" customHeight="true" outlineLevel="0" collapsed="false">
      <c r="A180" s="16" t="n">
        <v>2026</v>
      </c>
      <c r="B180" s="16" t="s">
        <v>187</v>
      </c>
      <c r="C180" s="16" t="s">
        <v>188</v>
      </c>
      <c r="D180" s="16" t="s">
        <v>178</v>
      </c>
      <c r="E180" s="18" t="n">
        <v>79</v>
      </c>
      <c r="F180" s="17" t="n">
        <v>7.1</v>
      </c>
      <c r="G180" s="17" t="n">
        <v>6.8</v>
      </c>
      <c r="H180" s="17" t="n">
        <v>1.2</v>
      </c>
      <c r="I180" s="17" t="n">
        <v>5.4</v>
      </c>
      <c r="J180" s="18" t="n">
        <v>250</v>
      </c>
      <c r="K180" s="17" t="n">
        <v>1.8</v>
      </c>
      <c r="L180" s="22" t="n">
        <v>42466</v>
      </c>
      <c r="M180" s="18" t="n">
        <v>0</v>
      </c>
      <c r="N180" s="18" t="n">
        <v>34</v>
      </c>
      <c r="O180" s="18" t="n">
        <v>0</v>
      </c>
      <c r="P180" s="16" t="s">
        <v>205</v>
      </c>
    </row>
    <row r="181" customFormat="false" ht="15" hidden="false" customHeight="true" outlineLevel="0" collapsed="false">
      <c r="A181" s="13" t="n">
        <v>2026</v>
      </c>
      <c r="B181" s="13" t="s">
        <v>190</v>
      </c>
      <c r="C181" s="13" t="s">
        <v>177</v>
      </c>
      <c r="D181" s="13" t="s">
        <v>178</v>
      </c>
      <c r="E181" s="15" t="n">
        <v>2</v>
      </c>
      <c r="F181" s="14" t="n">
        <v>7.1</v>
      </c>
      <c r="G181" s="14" t="n">
        <v>6.8</v>
      </c>
      <c r="H181" s="14" t="n">
        <v>1.2</v>
      </c>
      <c r="I181" s="14" t="n">
        <v>5.4</v>
      </c>
      <c r="J181" s="15" t="n">
        <v>250</v>
      </c>
      <c r="K181" s="14" t="n">
        <v>1.8</v>
      </c>
      <c r="L181" s="22" t="n">
        <v>0</v>
      </c>
      <c r="M181" s="15" t="n">
        <v>0</v>
      </c>
      <c r="N181" s="15" t="n">
        <v>0</v>
      </c>
      <c r="O181" s="15" t="n">
        <v>0</v>
      </c>
      <c r="P181" s="13" t="s">
        <v>181</v>
      </c>
    </row>
    <row r="182" customFormat="false" ht="15" hidden="false" customHeight="true" outlineLevel="0" collapsed="false">
      <c r="A182" s="16" t="n">
        <v>2026</v>
      </c>
      <c r="B182" s="16" t="s">
        <v>191</v>
      </c>
      <c r="C182" s="16" t="s">
        <v>192</v>
      </c>
      <c r="D182" s="16" t="s">
        <v>178</v>
      </c>
      <c r="E182" s="18" t="n">
        <v>24</v>
      </c>
      <c r="F182" s="17" t="n">
        <v>7.1</v>
      </c>
      <c r="G182" s="17" t="n">
        <v>6.8</v>
      </c>
      <c r="H182" s="17" t="n">
        <v>1.2</v>
      </c>
      <c r="I182" s="17" t="n">
        <v>5.4</v>
      </c>
      <c r="J182" s="18" t="n">
        <v>250</v>
      </c>
      <c r="K182" s="17" t="n">
        <v>1.8</v>
      </c>
      <c r="L182" s="22" t="n">
        <v>1047</v>
      </c>
      <c r="M182" s="18" t="n">
        <v>0</v>
      </c>
      <c r="N182" s="18" t="n">
        <v>6</v>
      </c>
      <c r="O182" s="18" t="n">
        <v>0</v>
      </c>
      <c r="P182" s="16" t="s">
        <v>291</v>
      </c>
    </row>
    <row r="183" customFormat="false" ht="15" hidden="false" customHeight="true" outlineLevel="0" collapsed="false">
      <c r="A183" s="13" t="n">
        <v>2026</v>
      </c>
      <c r="B183" s="13" t="s">
        <v>194</v>
      </c>
      <c r="C183" s="13" t="s">
        <v>192</v>
      </c>
      <c r="D183" s="13" t="s">
        <v>178</v>
      </c>
      <c r="E183" s="15" t="n">
        <v>419</v>
      </c>
      <c r="F183" s="14" t="n">
        <v>7.1</v>
      </c>
      <c r="G183" s="14" t="n">
        <v>6.8</v>
      </c>
      <c r="H183" s="14" t="n">
        <v>1.2</v>
      </c>
      <c r="I183" s="14" t="n">
        <v>5.4</v>
      </c>
      <c r="J183" s="15" t="n">
        <v>250</v>
      </c>
      <c r="K183" s="14" t="n">
        <v>1.8</v>
      </c>
      <c r="L183" s="22" t="n">
        <v>175261</v>
      </c>
      <c r="M183" s="15" t="n">
        <v>0</v>
      </c>
      <c r="N183" s="15" t="n">
        <v>545</v>
      </c>
      <c r="O183" s="15" t="n">
        <v>0</v>
      </c>
      <c r="P183" s="13" t="s">
        <v>292</v>
      </c>
    </row>
    <row r="184" customFormat="false" ht="15" hidden="false" customHeight="true" outlineLevel="0" collapsed="false">
      <c r="A184" s="16" t="n">
        <v>2026</v>
      </c>
      <c r="B184" s="16" t="s">
        <v>38</v>
      </c>
      <c r="C184" s="16" t="s">
        <v>39</v>
      </c>
      <c r="D184" s="16" t="s">
        <v>178</v>
      </c>
      <c r="E184" s="18" t="n">
        <v>44</v>
      </c>
      <c r="F184" s="17" t="n">
        <v>7.1</v>
      </c>
      <c r="G184" s="17" t="n">
        <v>6.8</v>
      </c>
      <c r="H184" s="17" t="n">
        <v>1.2</v>
      </c>
      <c r="I184" s="17" t="n">
        <v>5.4</v>
      </c>
      <c r="J184" s="18" t="n">
        <v>250</v>
      </c>
      <c r="K184" s="17" t="n">
        <v>1.8</v>
      </c>
      <c r="L184" s="22" t="n">
        <v>23897</v>
      </c>
      <c r="M184" s="18" t="n">
        <v>0</v>
      </c>
      <c r="N184" s="18" t="n">
        <v>2349</v>
      </c>
      <c r="O184" s="18" t="n">
        <v>0</v>
      </c>
      <c r="P184" s="16" t="s">
        <v>293</v>
      </c>
    </row>
    <row r="185" customFormat="false" ht="15" hidden="false" customHeight="true" outlineLevel="0" collapsed="false">
      <c r="A185" s="13" t="n">
        <v>2026</v>
      </c>
      <c r="B185" s="13" t="s">
        <v>197</v>
      </c>
      <c r="C185" s="13" t="s">
        <v>39</v>
      </c>
      <c r="D185" s="13" t="s">
        <v>178</v>
      </c>
      <c r="E185" s="15" t="n">
        <v>85</v>
      </c>
      <c r="F185" s="14" t="n">
        <v>7.1</v>
      </c>
      <c r="G185" s="14" t="n">
        <v>6.8</v>
      </c>
      <c r="H185" s="14" t="n">
        <v>1.2</v>
      </c>
      <c r="I185" s="14" t="n">
        <v>5.4</v>
      </c>
      <c r="J185" s="15" t="n">
        <v>250</v>
      </c>
      <c r="K185" s="14" t="n">
        <v>1.8</v>
      </c>
      <c r="L185" s="22" t="n">
        <v>53919</v>
      </c>
      <c r="M185" s="15" t="n">
        <v>0</v>
      </c>
      <c r="N185" s="15" t="n">
        <v>0</v>
      </c>
      <c r="O185" s="15" t="n">
        <v>0</v>
      </c>
      <c r="P185" s="13" t="s">
        <v>181</v>
      </c>
    </row>
    <row r="186" customFormat="false" ht="15" hidden="false" customHeight="true" outlineLevel="0" collapsed="false">
      <c r="A186" s="16" t="n">
        <v>2026</v>
      </c>
      <c r="B186" s="16" t="s">
        <v>141</v>
      </c>
      <c r="C186" s="16" t="s">
        <v>39</v>
      </c>
      <c r="D186" s="16" t="s">
        <v>178</v>
      </c>
      <c r="E186" s="18" t="n">
        <v>98</v>
      </c>
      <c r="F186" s="17" t="n">
        <v>7.1</v>
      </c>
      <c r="G186" s="17" t="n">
        <v>6.8</v>
      </c>
      <c r="H186" s="17" t="n">
        <v>1.2</v>
      </c>
      <c r="I186" s="17" t="n">
        <v>5.4</v>
      </c>
      <c r="J186" s="18" t="n">
        <v>250</v>
      </c>
      <c r="K186" s="17" t="n">
        <v>1.8</v>
      </c>
      <c r="L186" s="22" t="n">
        <v>112410</v>
      </c>
      <c r="M186" s="18" t="n">
        <v>0</v>
      </c>
      <c r="N186" s="18" t="n">
        <v>90</v>
      </c>
      <c r="O186" s="18" t="n">
        <v>0</v>
      </c>
      <c r="P186" s="16" t="s">
        <v>205</v>
      </c>
    </row>
    <row r="187" customFormat="false" ht="15" hidden="false" customHeight="true" outlineLevel="0" collapsed="false">
      <c r="A187" s="13" t="n">
        <v>2026</v>
      </c>
      <c r="B187" s="13" t="s">
        <v>71</v>
      </c>
      <c r="C187" s="13" t="s">
        <v>50</v>
      </c>
      <c r="D187" s="13" t="s">
        <v>178</v>
      </c>
      <c r="E187" s="15" t="n">
        <v>39</v>
      </c>
      <c r="F187" s="14" t="n">
        <v>7.1</v>
      </c>
      <c r="G187" s="14" t="n">
        <v>6.8</v>
      </c>
      <c r="H187" s="14" t="n">
        <v>1.2</v>
      </c>
      <c r="I187" s="14" t="n">
        <v>5.4</v>
      </c>
      <c r="J187" s="15" t="n">
        <v>250</v>
      </c>
      <c r="K187" s="14" t="n">
        <v>1.8</v>
      </c>
      <c r="L187" s="22" t="n">
        <v>84983</v>
      </c>
      <c r="M187" s="15" t="n">
        <v>0</v>
      </c>
      <c r="N187" s="15" t="n">
        <v>17</v>
      </c>
      <c r="O187" s="15" t="n">
        <v>0</v>
      </c>
      <c r="P187" s="13" t="s">
        <v>186</v>
      </c>
    </row>
    <row r="188" customFormat="false" ht="15" hidden="false" customHeight="true" outlineLevel="0" collapsed="false">
      <c r="A188" s="16" t="n">
        <v>2026</v>
      </c>
      <c r="B188" s="16" t="s">
        <v>111</v>
      </c>
      <c r="C188" s="16" t="s">
        <v>180</v>
      </c>
      <c r="D188" s="16" t="s">
        <v>178</v>
      </c>
      <c r="E188" s="18" t="n">
        <v>107</v>
      </c>
      <c r="F188" s="17" t="n">
        <v>7.1</v>
      </c>
      <c r="G188" s="17" t="n">
        <v>6.8</v>
      </c>
      <c r="H188" s="17" t="n">
        <v>1.2</v>
      </c>
      <c r="I188" s="17" t="n">
        <v>5.4</v>
      </c>
      <c r="J188" s="18" t="n">
        <v>250</v>
      </c>
      <c r="K188" s="17" t="n">
        <v>1.8</v>
      </c>
      <c r="L188" s="22" t="n">
        <v>121083</v>
      </c>
      <c r="M188" s="18" t="n">
        <v>0</v>
      </c>
      <c r="N188" s="18" t="n">
        <v>5032</v>
      </c>
      <c r="O188" s="18" t="n">
        <v>0</v>
      </c>
      <c r="P188" s="16" t="s">
        <v>294</v>
      </c>
    </row>
    <row r="189" customFormat="false" ht="15" hidden="false" customHeight="true" outlineLevel="0" collapsed="false">
      <c r="A189" s="13" t="n">
        <v>2026</v>
      </c>
      <c r="B189" s="13" t="s">
        <v>200</v>
      </c>
      <c r="C189" s="13" t="s">
        <v>180</v>
      </c>
      <c r="D189" s="13" t="s">
        <v>178</v>
      </c>
      <c r="E189" s="15" t="n">
        <v>97</v>
      </c>
      <c r="F189" s="14" t="n">
        <v>7.1</v>
      </c>
      <c r="G189" s="14" t="n">
        <v>6.8</v>
      </c>
      <c r="H189" s="14" t="n">
        <v>1.2</v>
      </c>
      <c r="I189" s="14" t="n">
        <v>5.4</v>
      </c>
      <c r="J189" s="15" t="n">
        <v>250</v>
      </c>
      <c r="K189" s="14" t="n">
        <v>1.8</v>
      </c>
      <c r="L189" s="22" t="n">
        <v>101394</v>
      </c>
      <c r="M189" s="15" t="n">
        <v>0</v>
      </c>
      <c r="N189" s="15" t="n">
        <v>10842</v>
      </c>
      <c r="O189" s="15" t="n">
        <v>0</v>
      </c>
      <c r="P189" s="13" t="s">
        <v>295</v>
      </c>
    </row>
    <row r="190" customFormat="false" ht="15" hidden="false" customHeight="true" outlineLevel="0" collapsed="false">
      <c r="A190" s="16" t="n">
        <v>2026</v>
      </c>
      <c r="B190" s="16" t="s">
        <v>202</v>
      </c>
      <c r="C190" s="16" t="s">
        <v>177</v>
      </c>
      <c r="D190" s="16" t="s">
        <v>178</v>
      </c>
      <c r="E190" s="18" t="n">
        <v>9</v>
      </c>
      <c r="F190" s="17" t="n">
        <v>7.1</v>
      </c>
      <c r="G190" s="17" t="n">
        <v>6.8</v>
      </c>
      <c r="H190" s="17" t="n">
        <v>1.2</v>
      </c>
      <c r="I190" s="17" t="n">
        <v>5.4</v>
      </c>
      <c r="J190" s="18" t="n">
        <v>250</v>
      </c>
      <c r="K190" s="17" t="n">
        <v>1.8</v>
      </c>
      <c r="L190" s="22" t="n">
        <v>857</v>
      </c>
      <c r="M190" s="18" t="n">
        <v>0</v>
      </c>
      <c r="N190" s="18" t="n">
        <v>19</v>
      </c>
      <c r="O190" s="18" t="n">
        <v>0</v>
      </c>
      <c r="P190" s="16" t="s">
        <v>296</v>
      </c>
    </row>
    <row r="191" customFormat="false" ht="15" hidden="false" customHeight="true" outlineLevel="0" collapsed="false">
      <c r="A191" s="13" t="n">
        <v>2026</v>
      </c>
      <c r="B191" s="13" t="s">
        <v>204</v>
      </c>
      <c r="C191" s="13" t="s">
        <v>177</v>
      </c>
      <c r="D191" s="13" t="s">
        <v>178</v>
      </c>
      <c r="E191" s="15" t="n">
        <v>9</v>
      </c>
      <c r="F191" s="14" t="n">
        <v>7.1</v>
      </c>
      <c r="G191" s="14" t="n">
        <v>6.8</v>
      </c>
      <c r="H191" s="14" t="n">
        <v>1.2</v>
      </c>
      <c r="I191" s="14" t="n">
        <v>5.4</v>
      </c>
      <c r="J191" s="15" t="n">
        <v>250</v>
      </c>
      <c r="K191" s="14" t="n">
        <v>1.8</v>
      </c>
      <c r="L191" s="22" t="n">
        <v>1110</v>
      </c>
      <c r="M191" s="15" t="n">
        <v>0</v>
      </c>
      <c r="N191" s="15" t="n">
        <v>1</v>
      </c>
      <c r="O191" s="15" t="n">
        <v>0</v>
      </c>
      <c r="P191" s="13" t="s">
        <v>189</v>
      </c>
    </row>
    <row r="192" customFormat="false" ht="15" hidden="false" customHeight="true" outlineLevel="0" collapsed="false">
      <c r="A192" s="16" t="n">
        <v>2026</v>
      </c>
      <c r="B192" s="16" t="s">
        <v>206</v>
      </c>
      <c r="C192" s="16" t="s">
        <v>188</v>
      </c>
      <c r="D192" s="16" t="s">
        <v>178</v>
      </c>
      <c r="E192" s="18" t="n">
        <v>187</v>
      </c>
      <c r="F192" s="17" t="n">
        <v>7.1</v>
      </c>
      <c r="G192" s="17" t="n">
        <v>6.8</v>
      </c>
      <c r="H192" s="17" t="n">
        <v>1.2</v>
      </c>
      <c r="I192" s="17" t="n">
        <v>5.4</v>
      </c>
      <c r="J192" s="18" t="n">
        <v>250</v>
      </c>
      <c r="K192" s="17" t="n">
        <v>1.8</v>
      </c>
      <c r="L192" s="22" t="n">
        <v>229931</v>
      </c>
      <c r="M192" s="18" t="n">
        <v>0</v>
      </c>
      <c r="N192" s="18" t="n">
        <v>69</v>
      </c>
      <c r="O192" s="18" t="n">
        <v>0</v>
      </c>
      <c r="P192" s="16" t="s">
        <v>207</v>
      </c>
    </row>
    <row r="193" customFormat="false" ht="15" hidden="false" customHeight="true" outlineLevel="0" collapsed="false">
      <c r="A193" s="13" t="n">
        <v>2026</v>
      </c>
      <c r="B193" s="13" t="s">
        <v>208</v>
      </c>
      <c r="C193" s="13" t="s">
        <v>192</v>
      </c>
      <c r="D193" s="13" t="s">
        <v>178</v>
      </c>
      <c r="E193" s="15" t="n">
        <v>230</v>
      </c>
      <c r="F193" s="14" t="n">
        <v>7.2</v>
      </c>
      <c r="G193" s="14" t="n">
        <v>7.1</v>
      </c>
      <c r="H193" s="14" t="n">
        <v>1.5</v>
      </c>
      <c r="I193" s="14" t="n">
        <v>8.2</v>
      </c>
      <c r="J193" s="15" t="n">
        <v>320</v>
      </c>
      <c r="K193" s="14" t="n">
        <v>2.1</v>
      </c>
      <c r="L193" s="22" t="n">
        <v>228784</v>
      </c>
      <c r="M193" s="15" t="n">
        <v>0</v>
      </c>
      <c r="N193" s="15" t="n">
        <v>10630</v>
      </c>
      <c r="O193" s="15" t="n">
        <v>0</v>
      </c>
      <c r="P193" s="13" t="s">
        <v>297</v>
      </c>
    </row>
    <row r="194" customFormat="false" ht="15" hidden="false" customHeight="true" outlineLevel="0" collapsed="false">
      <c r="A194" s="16" t="n">
        <v>2026</v>
      </c>
      <c r="B194" s="16" t="s">
        <v>210</v>
      </c>
      <c r="C194" s="16" t="s">
        <v>183</v>
      </c>
      <c r="D194" s="16" t="s">
        <v>178</v>
      </c>
      <c r="E194" s="18" t="n">
        <v>14</v>
      </c>
      <c r="F194" s="17" t="n">
        <v>7.1</v>
      </c>
      <c r="G194" s="17" t="n">
        <v>6.8</v>
      </c>
      <c r="H194" s="17" t="n">
        <v>1.2</v>
      </c>
      <c r="I194" s="17" t="n">
        <v>5.4</v>
      </c>
      <c r="J194" s="18" t="n">
        <v>250</v>
      </c>
      <c r="K194" s="17" t="n">
        <v>1.8</v>
      </c>
      <c r="L194" s="22" t="n">
        <v>9598</v>
      </c>
      <c r="M194" s="18" t="n">
        <v>0</v>
      </c>
      <c r="N194" s="18" t="n">
        <v>0</v>
      </c>
      <c r="O194" s="18" t="n">
        <v>0</v>
      </c>
      <c r="P194" s="16" t="s">
        <v>181</v>
      </c>
    </row>
    <row r="195" customFormat="false" ht="15" hidden="false" customHeight="true" outlineLevel="0" collapsed="false">
      <c r="A195" s="13" t="n">
        <v>2026</v>
      </c>
      <c r="B195" s="13" t="s">
        <v>211</v>
      </c>
      <c r="C195" s="13" t="s">
        <v>183</v>
      </c>
      <c r="D195" s="13" t="s">
        <v>178</v>
      </c>
      <c r="E195" s="15" t="n">
        <v>30</v>
      </c>
      <c r="F195" s="14" t="n">
        <v>7.1</v>
      </c>
      <c r="G195" s="14" t="n">
        <v>6.8</v>
      </c>
      <c r="H195" s="14" t="n">
        <v>1.2</v>
      </c>
      <c r="I195" s="14" t="n">
        <v>5.4</v>
      </c>
      <c r="J195" s="15" t="n">
        <v>250</v>
      </c>
      <c r="K195" s="14" t="n">
        <v>1.8</v>
      </c>
      <c r="L195" s="22" t="n">
        <v>25883</v>
      </c>
      <c r="M195" s="15" t="n">
        <v>0</v>
      </c>
      <c r="N195" s="15" t="n">
        <v>117</v>
      </c>
      <c r="O195" s="15" t="n">
        <v>0</v>
      </c>
      <c r="P195" s="13" t="s">
        <v>298</v>
      </c>
    </row>
    <row r="196" customFormat="false" ht="15" hidden="false" customHeight="true" outlineLevel="0" collapsed="false">
      <c r="A196" s="16" t="n">
        <v>2026</v>
      </c>
      <c r="B196" s="16" t="s">
        <v>213</v>
      </c>
      <c r="C196" s="16" t="s">
        <v>183</v>
      </c>
      <c r="D196" s="16" t="s">
        <v>178</v>
      </c>
      <c r="E196" s="18" t="n">
        <v>28</v>
      </c>
      <c r="F196" s="17" t="n">
        <v>7.1</v>
      </c>
      <c r="G196" s="17" t="n">
        <v>6.8</v>
      </c>
      <c r="H196" s="17" t="n">
        <v>1.2</v>
      </c>
      <c r="I196" s="17" t="n">
        <v>5.4</v>
      </c>
      <c r="J196" s="18" t="n">
        <v>250</v>
      </c>
      <c r="K196" s="17" t="n">
        <v>1.8</v>
      </c>
      <c r="L196" s="22" t="n">
        <v>2735</v>
      </c>
      <c r="M196" s="18" t="n">
        <v>0</v>
      </c>
      <c r="N196" s="18" t="n">
        <v>154</v>
      </c>
      <c r="O196" s="18" t="n">
        <v>0</v>
      </c>
      <c r="P196" s="16" t="s">
        <v>299</v>
      </c>
    </row>
    <row r="197" customFormat="false" ht="15" hidden="false" customHeight="true" outlineLevel="0" collapsed="false">
      <c r="A197" s="13" t="n">
        <v>2026</v>
      </c>
      <c r="B197" s="13" t="s">
        <v>215</v>
      </c>
      <c r="C197" s="13" t="s">
        <v>183</v>
      </c>
      <c r="D197" s="13" t="s">
        <v>178</v>
      </c>
      <c r="E197" s="15" t="n">
        <v>12</v>
      </c>
      <c r="F197" s="14" t="n">
        <v>7.1</v>
      </c>
      <c r="G197" s="14" t="n">
        <v>6.8</v>
      </c>
      <c r="H197" s="14" t="n">
        <v>1.2</v>
      </c>
      <c r="I197" s="14" t="n">
        <v>5.4</v>
      </c>
      <c r="J197" s="15" t="n">
        <v>250</v>
      </c>
      <c r="K197" s="14" t="n">
        <v>1.8</v>
      </c>
      <c r="L197" s="22" t="n">
        <v>5473</v>
      </c>
      <c r="M197" s="15" t="n">
        <v>0</v>
      </c>
      <c r="N197" s="15" t="n">
        <v>0</v>
      </c>
      <c r="O197" s="15" t="n">
        <v>0</v>
      </c>
      <c r="P197" s="13" t="s">
        <v>181</v>
      </c>
    </row>
    <row r="198" customFormat="false" ht="15" hidden="false" customHeight="true" outlineLevel="0" collapsed="false">
      <c r="A198" s="16" t="n">
        <v>2026</v>
      </c>
      <c r="B198" s="16" t="s">
        <v>49</v>
      </c>
      <c r="C198" s="16" t="s">
        <v>50</v>
      </c>
      <c r="D198" s="16" t="s">
        <v>178</v>
      </c>
      <c r="E198" s="18" t="n">
        <v>160</v>
      </c>
      <c r="F198" s="17" t="n">
        <v>7.1</v>
      </c>
      <c r="G198" s="17" t="n">
        <v>6.8</v>
      </c>
      <c r="H198" s="17" t="n">
        <v>1.2</v>
      </c>
      <c r="I198" s="17" t="n">
        <v>5.4</v>
      </c>
      <c r="J198" s="18" t="n">
        <v>250</v>
      </c>
      <c r="K198" s="17" t="n">
        <v>1.8</v>
      </c>
      <c r="L198" s="22" t="n">
        <v>106159</v>
      </c>
      <c r="M198" s="18" t="n">
        <v>0</v>
      </c>
      <c r="N198" s="18" t="n">
        <v>1029</v>
      </c>
      <c r="O198" s="18" t="n">
        <v>0</v>
      </c>
      <c r="P198" s="16" t="s">
        <v>238</v>
      </c>
    </row>
    <row r="199" customFormat="false" ht="15" hidden="false" customHeight="true" outlineLevel="0" collapsed="false">
      <c r="A199" s="13" t="n">
        <v>2026</v>
      </c>
      <c r="B199" s="13" t="s">
        <v>217</v>
      </c>
      <c r="C199" s="13" t="s">
        <v>177</v>
      </c>
      <c r="D199" s="13" t="s">
        <v>178</v>
      </c>
      <c r="E199" s="15" t="n">
        <v>2</v>
      </c>
      <c r="F199" s="14" t="n">
        <v>7.1</v>
      </c>
      <c r="G199" s="14" t="n">
        <v>6.8</v>
      </c>
      <c r="H199" s="14" t="n">
        <v>1.2</v>
      </c>
      <c r="I199" s="14" t="n">
        <v>5.4</v>
      </c>
      <c r="J199" s="15" t="n">
        <v>250</v>
      </c>
      <c r="K199" s="14" t="n">
        <v>1.8</v>
      </c>
      <c r="L199" s="22" t="n">
        <v>0</v>
      </c>
      <c r="M199" s="15" t="n">
        <v>0</v>
      </c>
      <c r="N199" s="15" t="n">
        <v>0</v>
      </c>
      <c r="O199" s="15" t="n">
        <v>0</v>
      </c>
      <c r="P199" s="13" t="s">
        <v>181</v>
      </c>
    </row>
    <row r="200" customFormat="false" ht="15" hidden="false" customHeight="true" outlineLevel="0" collapsed="false">
      <c r="A200" s="16" t="n">
        <v>2026</v>
      </c>
      <c r="B200" s="16" t="s">
        <v>218</v>
      </c>
      <c r="C200" s="16" t="s">
        <v>39</v>
      </c>
      <c r="D200" s="16" t="s">
        <v>178</v>
      </c>
      <c r="E200" s="18" t="n">
        <v>33</v>
      </c>
      <c r="F200" s="17" t="n">
        <v>7.1</v>
      </c>
      <c r="G200" s="17" t="n">
        <v>6.8</v>
      </c>
      <c r="H200" s="17" t="n">
        <v>1.2</v>
      </c>
      <c r="I200" s="17" t="n">
        <v>5.4</v>
      </c>
      <c r="J200" s="18" t="n">
        <v>250</v>
      </c>
      <c r="K200" s="17" t="n">
        <v>1.8</v>
      </c>
      <c r="L200" s="22" t="n">
        <v>29818</v>
      </c>
      <c r="M200" s="18" t="n">
        <v>0</v>
      </c>
      <c r="N200" s="18" t="n">
        <v>353</v>
      </c>
      <c r="O200" s="18" t="n">
        <v>0</v>
      </c>
      <c r="P200" s="16" t="s">
        <v>300</v>
      </c>
    </row>
    <row r="201" customFormat="false" ht="15" hidden="false" customHeight="true" outlineLevel="0" collapsed="false">
      <c r="A201" s="13" t="n">
        <v>2026</v>
      </c>
      <c r="B201" s="13" t="s">
        <v>114</v>
      </c>
      <c r="C201" s="13" t="s">
        <v>192</v>
      </c>
      <c r="D201" s="13" t="s">
        <v>178</v>
      </c>
      <c r="E201" s="15" t="n">
        <v>80</v>
      </c>
      <c r="F201" s="14" t="n">
        <v>7.1</v>
      </c>
      <c r="G201" s="14" t="n">
        <v>6.8</v>
      </c>
      <c r="H201" s="14" t="n">
        <v>1.2</v>
      </c>
      <c r="I201" s="14" t="n">
        <v>5.4</v>
      </c>
      <c r="J201" s="15" t="n">
        <v>250</v>
      </c>
      <c r="K201" s="14" t="n">
        <v>1.8</v>
      </c>
      <c r="L201" s="22" t="n">
        <v>16164</v>
      </c>
      <c r="M201" s="15" t="n">
        <v>0</v>
      </c>
      <c r="N201" s="15" t="n">
        <v>1848</v>
      </c>
      <c r="O201" s="15" t="n">
        <v>0</v>
      </c>
      <c r="P201" s="13" t="s">
        <v>301</v>
      </c>
    </row>
    <row r="202" customFormat="false" ht="15" hidden="false" customHeight="true" outlineLevel="0" collapsed="false">
      <c r="A202" s="16" t="n">
        <v>2026</v>
      </c>
      <c r="B202" s="16" t="s">
        <v>221</v>
      </c>
      <c r="C202" s="16" t="s">
        <v>183</v>
      </c>
      <c r="D202" s="16" t="s">
        <v>178</v>
      </c>
      <c r="E202" s="18" t="n">
        <v>2</v>
      </c>
      <c r="F202" s="17" t="n">
        <v>7.1</v>
      </c>
      <c r="G202" s="17" t="n">
        <v>6.8</v>
      </c>
      <c r="H202" s="17" t="n">
        <v>1.2</v>
      </c>
      <c r="I202" s="17" t="n">
        <v>5.4</v>
      </c>
      <c r="J202" s="18" t="n">
        <v>250</v>
      </c>
      <c r="K202" s="17" t="n">
        <v>1.8</v>
      </c>
      <c r="L202" s="22" t="n">
        <v>3207</v>
      </c>
      <c r="M202" s="18" t="n">
        <v>0</v>
      </c>
      <c r="N202" s="18" t="n">
        <v>3207</v>
      </c>
      <c r="O202" s="18" t="n">
        <v>0</v>
      </c>
      <c r="P202" s="16" t="s">
        <v>302</v>
      </c>
    </row>
    <row r="203" customFormat="false" ht="15" hidden="false" customHeight="true" outlineLevel="0" collapsed="false">
      <c r="A203" s="13" t="n">
        <v>2026</v>
      </c>
      <c r="B203" s="13" t="s">
        <v>148</v>
      </c>
      <c r="C203" s="13" t="s">
        <v>180</v>
      </c>
      <c r="D203" s="13" t="s">
        <v>178</v>
      </c>
      <c r="E203" s="15" t="n">
        <v>113</v>
      </c>
      <c r="F203" s="14" t="n">
        <v>7.1</v>
      </c>
      <c r="G203" s="14" t="n">
        <v>6.8</v>
      </c>
      <c r="H203" s="14" t="n">
        <v>1.2</v>
      </c>
      <c r="I203" s="14" t="n">
        <v>5.4</v>
      </c>
      <c r="J203" s="15" t="n">
        <v>250</v>
      </c>
      <c r="K203" s="14" t="n">
        <v>1.8</v>
      </c>
      <c r="L203" s="22" t="n">
        <v>384923</v>
      </c>
      <c r="M203" s="15" t="n">
        <v>0</v>
      </c>
      <c r="N203" s="15" t="n">
        <v>77</v>
      </c>
      <c r="O203" s="15" t="n">
        <v>0</v>
      </c>
      <c r="P203" s="13" t="s">
        <v>186</v>
      </c>
    </row>
    <row r="204" customFormat="false" ht="15" hidden="false" customHeight="true" outlineLevel="0" collapsed="false">
      <c r="A204" s="16" t="n">
        <v>2026</v>
      </c>
      <c r="B204" s="16" t="s">
        <v>108</v>
      </c>
      <c r="C204" s="16" t="s">
        <v>180</v>
      </c>
      <c r="D204" s="16" t="s">
        <v>178</v>
      </c>
      <c r="E204" s="18" t="n">
        <v>116</v>
      </c>
      <c r="F204" s="17" t="n">
        <v>7.1</v>
      </c>
      <c r="G204" s="17" t="n">
        <v>6.8</v>
      </c>
      <c r="H204" s="17" t="n">
        <v>1.2</v>
      </c>
      <c r="I204" s="17" t="n">
        <v>5.4</v>
      </c>
      <c r="J204" s="18" t="n">
        <v>250</v>
      </c>
      <c r="K204" s="17" t="n">
        <v>1.8</v>
      </c>
      <c r="L204" s="22" t="n">
        <v>61886</v>
      </c>
      <c r="M204" s="18" t="n">
        <v>0</v>
      </c>
      <c r="N204" s="18" t="n">
        <v>0</v>
      </c>
      <c r="O204" s="18" t="n">
        <v>0</v>
      </c>
      <c r="P204" s="16" t="s">
        <v>181</v>
      </c>
    </row>
    <row r="205" customFormat="false" ht="15" hidden="false" customHeight="true" outlineLevel="0" collapsed="false">
      <c r="A205" s="13" t="n">
        <v>2026</v>
      </c>
      <c r="B205" s="13" t="s">
        <v>223</v>
      </c>
      <c r="C205" s="13" t="s">
        <v>183</v>
      </c>
      <c r="D205" s="13" t="s">
        <v>178</v>
      </c>
      <c r="E205" s="15" t="n">
        <v>21</v>
      </c>
      <c r="F205" s="14" t="n">
        <v>7.1</v>
      </c>
      <c r="G205" s="14" t="n">
        <v>6.8</v>
      </c>
      <c r="H205" s="14" t="n">
        <v>1.2</v>
      </c>
      <c r="I205" s="14" t="n">
        <v>5.4</v>
      </c>
      <c r="J205" s="15" t="n">
        <v>250</v>
      </c>
      <c r="K205" s="14" t="n">
        <v>1.8</v>
      </c>
      <c r="L205" s="22" t="n">
        <v>22702</v>
      </c>
      <c r="M205" s="15" t="n">
        <v>0</v>
      </c>
      <c r="N205" s="15" t="n">
        <v>25</v>
      </c>
      <c r="O205" s="15" t="n">
        <v>0</v>
      </c>
      <c r="P205" s="13" t="s">
        <v>224</v>
      </c>
    </row>
    <row r="206" customFormat="false" ht="15" hidden="false" customHeight="true" outlineLevel="0" collapsed="false">
      <c r="A206" s="16" t="n">
        <v>2026</v>
      </c>
      <c r="B206" s="16" t="s">
        <v>67</v>
      </c>
      <c r="C206" s="16" t="s">
        <v>39</v>
      </c>
      <c r="D206" s="16" t="s">
        <v>178</v>
      </c>
      <c r="E206" s="18" t="n">
        <v>145</v>
      </c>
      <c r="F206" s="17" t="n">
        <v>7.3</v>
      </c>
      <c r="G206" s="17" t="n">
        <v>6.5</v>
      </c>
      <c r="H206" s="17" t="n">
        <v>1.9</v>
      </c>
      <c r="I206" s="17" t="n">
        <v>10.1</v>
      </c>
      <c r="J206" s="18" t="n">
        <v>380</v>
      </c>
      <c r="K206" s="17" t="n">
        <v>2.5</v>
      </c>
      <c r="L206" s="22" t="n">
        <v>208425</v>
      </c>
      <c r="M206" s="18" t="n">
        <v>0</v>
      </c>
      <c r="N206" s="18" t="n">
        <v>1575</v>
      </c>
      <c r="O206" s="18" t="n">
        <v>0</v>
      </c>
      <c r="P206" s="16" t="s">
        <v>243</v>
      </c>
    </row>
    <row r="207" customFormat="false" ht="15" hidden="false" customHeight="true" outlineLevel="0" collapsed="false">
      <c r="A207" s="13" t="n">
        <v>2026</v>
      </c>
      <c r="B207" s="13" t="s">
        <v>62</v>
      </c>
      <c r="C207" s="13" t="s">
        <v>39</v>
      </c>
      <c r="D207" s="13" t="s">
        <v>178</v>
      </c>
      <c r="E207" s="15" t="n">
        <v>28</v>
      </c>
      <c r="F207" s="14" t="n">
        <v>7.1</v>
      </c>
      <c r="G207" s="14" t="n">
        <v>6.8</v>
      </c>
      <c r="H207" s="14" t="n">
        <v>1.2</v>
      </c>
      <c r="I207" s="14" t="n">
        <v>5.4</v>
      </c>
      <c r="J207" s="15" t="n">
        <v>250</v>
      </c>
      <c r="K207" s="14" t="n">
        <v>1.8</v>
      </c>
      <c r="L207" s="22" t="n">
        <v>49539</v>
      </c>
      <c r="M207" s="15" t="n">
        <v>0</v>
      </c>
      <c r="N207" s="15" t="n">
        <v>622</v>
      </c>
      <c r="O207" s="15" t="n">
        <v>0</v>
      </c>
      <c r="P207" s="13" t="s">
        <v>262</v>
      </c>
    </row>
    <row r="208" customFormat="false" ht="15" hidden="false" customHeight="true" outlineLevel="0" collapsed="false">
      <c r="A208" s="16" t="n">
        <v>2026</v>
      </c>
      <c r="B208" s="16" t="s">
        <v>73</v>
      </c>
      <c r="C208" s="16" t="s">
        <v>50</v>
      </c>
      <c r="D208" s="16" t="s">
        <v>178</v>
      </c>
      <c r="E208" s="18" t="n">
        <v>241</v>
      </c>
      <c r="F208" s="17" t="n">
        <v>7.1</v>
      </c>
      <c r="G208" s="17" t="n">
        <v>6.8</v>
      </c>
      <c r="H208" s="17" t="n">
        <v>1.2</v>
      </c>
      <c r="I208" s="17" t="n">
        <v>5.4</v>
      </c>
      <c r="J208" s="18" t="n">
        <v>250</v>
      </c>
      <c r="K208" s="17" t="n">
        <v>1.8</v>
      </c>
      <c r="L208" s="22" t="n">
        <v>76977</v>
      </c>
      <c r="M208" s="18" t="n">
        <v>0</v>
      </c>
      <c r="N208" s="18" t="n">
        <v>18268</v>
      </c>
      <c r="O208" s="18" t="n">
        <v>0</v>
      </c>
      <c r="P208" s="16" t="s">
        <v>303</v>
      </c>
    </row>
    <row r="209" customFormat="false" ht="15" hidden="false" customHeight="true" outlineLevel="0" collapsed="false">
      <c r="A209" s="23"/>
      <c r="B209" s="24" t="s">
        <v>304</v>
      </c>
      <c r="C209" s="23"/>
      <c r="D209" s="23"/>
      <c r="E209" s="25" t="n">
        <f aca="false">SUM(E5:E208)</f>
        <v>15554</v>
      </c>
      <c r="F209" s="26"/>
      <c r="G209" s="26"/>
      <c r="H209" s="26"/>
      <c r="I209" s="26"/>
      <c r="J209" s="27"/>
      <c r="K209" s="26"/>
      <c r="L209" s="25" t="n">
        <f aca="false">SUM(L5:L208)</f>
        <v>12155170</v>
      </c>
      <c r="M209" s="27"/>
      <c r="N209" s="25" t="n">
        <f aca="false">SUM(N5:N208)</f>
        <v>277018</v>
      </c>
      <c r="O209" s="27"/>
      <c r="P209" s="23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13"/>
    <col collapsed="false" customWidth="true" hidden="false" outlineLevel="0" max="2" min="2" style="1" width="39"/>
    <col collapsed="false" customWidth="true" hidden="false" outlineLevel="0" max="3" min="3" style="1" width="13"/>
    <col collapsed="false" customWidth="true" hidden="false" outlineLevel="0" max="4" min="4" style="1" width="21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9" min="8" style="1" width="19"/>
    <col collapsed="false" customWidth="true" hidden="false" outlineLevel="0" max="10" min="10" style="1" width="153"/>
    <col collapsed="false" customWidth="true" hidden="false" outlineLevel="0" max="11" min="11" style="1" width="21"/>
    <col collapsed="false" customWidth="true" hidden="false" outlineLevel="0" max="12" min="12" style="1" width="153"/>
    <col collapsed="false" customWidth="true" hidden="false" outlineLevel="0" max="13" min="13" style="1" width="21"/>
    <col collapsed="false" customWidth="true" hidden="false" outlineLevel="0" max="14" min="14" style="1" width="74"/>
  </cols>
  <sheetData>
    <row r="1" customFormat="false" ht="30" hidden="false" customHeight="true" outlineLevel="0" collapsed="false">
      <c r="A1" s="2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3" t="s">
        <v>306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5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307</v>
      </c>
      <c r="E4" s="4" t="s">
        <v>308</v>
      </c>
      <c r="F4" s="4" t="s">
        <v>309</v>
      </c>
      <c r="G4" s="4" t="s">
        <v>310</v>
      </c>
      <c r="H4" s="4" t="s">
        <v>311</v>
      </c>
      <c r="I4" s="4" t="s">
        <v>11</v>
      </c>
      <c r="J4" s="4" t="s">
        <v>312</v>
      </c>
      <c r="K4" s="4" t="s">
        <v>313</v>
      </c>
      <c r="L4" s="4" t="s">
        <v>314</v>
      </c>
      <c r="M4" s="4" t="s">
        <v>315</v>
      </c>
      <c r="N4" s="4" t="s">
        <v>316</v>
      </c>
    </row>
    <row r="5" customFormat="false" ht="19.5" hidden="false" customHeight="true" outlineLevel="0" collapsed="false">
      <c r="A5" s="5" t="n">
        <v>2021</v>
      </c>
      <c r="B5" s="6" t="s">
        <v>176</v>
      </c>
      <c r="C5" s="6" t="s">
        <v>177</v>
      </c>
      <c r="D5" s="8" t="s">
        <v>19</v>
      </c>
      <c r="E5" s="8" t="s">
        <v>19</v>
      </c>
      <c r="F5" s="8" t="s">
        <v>19</v>
      </c>
      <c r="G5" s="8" t="s">
        <v>19</v>
      </c>
      <c r="H5" s="8" t="s">
        <v>19</v>
      </c>
      <c r="I5" s="8" t="n">
        <v>9</v>
      </c>
      <c r="J5" s="28" t="n">
        <f aca="false">IF(SUM(State_Quality_Summary!L5,State_Quality_Summary!N5)&gt;0, State_Quality_Summary!L5/SUM(State_Quality_Summary!L5,State_Quality_Summary!N5), 1)</f>
        <v>0.9975</v>
      </c>
      <c r="K5" s="29" t="n">
        <v>0</v>
      </c>
      <c r="L5" s="29" t="n">
        <f aca="false">IF(SUM(State_Quality_Summary!L5,State_Quality_Summary!N5)&gt;0, State_Quality_Summary!N5/SUM(State_Quality_Summary!L5,State_Quality_Summary!N5), 0)</f>
        <v>0.0025</v>
      </c>
      <c r="M5" s="29" t="n">
        <v>0</v>
      </c>
      <c r="N5" s="6" t="str">
        <f aca="false">IF(L5&gt;0.05,"Poor Quality",IF(L5&gt;0.01,"Moderately Safe","Excellent"))</f>
        <v>Excellent</v>
      </c>
    </row>
    <row r="6" customFormat="false" ht="19.5" hidden="false" customHeight="true" outlineLevel="0" collapsed="false">
      <c r="A6" s="9" t="n">
        <v>2021</v>
      </c>
      <c r="B6" s="10" t="s">
        <v>13</v>
      </c>
      <c r="C6" s="10" t="s">
        <v>180</v>
      </c>
      <c r="D6" s="12" t="n">
        <v>115</v>
      </c>
      <c r="E6" s="12" t="s">
        <v>19</v>
      </c>
      <c r="F6" s="12" t="n">
        <v>4</v>
      </c>
      <c r="G6" s="12" t="s">
        <v>19</v>
      </c>
      <c r="H6" s="12" t="n">
        <v>115</v>
      </c>
      <c r="I6" s="12" t="n">
        <v>107</v>
      </c>
      <c r="J6" s="28" t="n">
        <f aca="false">IF(SUM(State_Quality_Summary!L6,State_Quality_Summary!N6)&gt;0, State_Quality_Summary!L6/SUM(State_Quality_Summary!L6,State_Quality_Summary!N6), 1)</f>
        <v>1</v>
      </c>
      <c r="K6" s="30" t="n">
        <v>0</v>
      </c>
      <c r="L6" s="30" t="n">
        <f aca="false">IF(SUM(State_Quality_Summary!L6,State_Quality_Summary!N6)&gt;0, State_Quality_Summary!N6/SUM(State_Quality_Summary!L6,State_Quality_Summary!N6), 0)</f>
        <v>0</v>
      </c>
      <c r="M6" s="30" t="n">
        <v>0</v>
      </c>
      <c r="N6" s="10" t="str">
        <f aca="false">IF(L6&gt;0.05,"Poor Quality",IF(L6&gt;0.01,"Moderately Safe","Excellent"))</f>
        <v>Excellent</v>
      </c>
    </row>
    <row r="7" customFormat="false" ht="19.5" hidden="false" customHeight="true" outlineLevel="0" collapsed="false">
      <c r="A7" s="5" t="n">
        <v>2021</v>
      </c>
      <c r="B7" s="6" t="s">
        <v>182</v>
      </c>
      <c r="C7" s="6" t="s">
        <v>183</v>
      </c>
      <c r="D7" s="8" t="s">
        <v>19</v>
      </c>
      <c r="E7" s="8" t="s">
        <v>19</v>
      </c>
      <c r="F7" s="8" t="s">
        <v>19</v>
      </c>
      <c r="G7" s="8" t="s">
        <v>19</v>
      </c>
      <c r="H7" s="8" t="s">
        <v>19</v>
      </c>
      <c r="I7" s="8" t="n">
        <v>30</v>
      </c>
      <c r="J7" s="28" t="n">
        <f aca="false">IF(SUM(State_Quality_Summary!L7,State_Quality_Summary!N7)&gt;0, State_Quality_Summary!L7/SUM(State_Quality_Summary!L7,State_Quality_Summary!N7), 1)</f>
        <v>1</v>
      </c>
      <c r="K7" s="29" t="n">
        <v>0</v>
      </c>
      <c r="L7" s="29" t="n">
        <f aca="false">IF(SUM(State_Quality_Summary!L7,State_Quality_Summary!N7)&gt;0, State_Quality_Summary!N7/SUM(State_Quality_Summary!L7,State_Quality_Summary!N7), 0)</f>
        <v>0</v>
      </c>
      <c r="M7" s="29" t="n">
        <v>0</v>
      </c>
      <c r="N7" s="6" t="str">
        <f aca="false">IF(L7&gt;0.05,"Poor Quality",IF(L7&gt;0.01,"Moderately Safe","Excellent"))</f>
        <v>Excellent</v>
      </c>
    </row>
    <row r="8" customFormat="false" ht="19.5" hidden="false" customHeight="true" outlineLevel="0" collapsed="false">
      <c r="A8" s="9" t="n">
        <v>2021</v>
      </c>
      <c r="B8" s="10" t="s">
        <v>184</v>
      </c>
      <c r="C8" s="10" t="s">
        <v>183</v>
      </c>
      <c r="D8" s="12" t="s">
        <v>19</v>
      </c>
      <c r="E8" s="12" t="s">
        <v>19</v>
      </c>
      <c r="F8" s="12" t="s">
        <v>19</v>
      </c>
      <c r="G8" s="12" t="s">
        <v>19</v>
      </c>
      <c r="H8" s="12" t="s">
        <v>19</v>
      </c>
      <c r="I8" s="12" t="n">
        <v>69</v>
      </c>
      <c r="J8" s="28" t="n">
        <f aca="false">IF(SUM(State_Quality_Summary!L8,State_Quality_Summary!N8)&gt;0, State_Quality_Summary!L8/SUM(State_Quality_Summary!L8,State_Quality_Summary!N8), 1)</f>
        <v>0.992199909907774</v>
      </c>
      <c r="K8" s="30" t="n">
        <v>0</v>
      </c>
      <c r="L8" s="30" t="n">
        <f aca="false">IF(SUM(State_Quality_Summary!L8,State_Quality_Summary!N8)&gt;0, State_Quality_Summary!N8/SUM(State_Quality_Summary!L8,State_Quality_Summary!N8), 0)</f>
        <v>0.00780009009222599</v>
      </c>
      <c r="M8" s="30" t="n">
        <v>0</v>
      </c>
      <c r="N8" s="10" t="str">
        <f aca="false">IF(L8&gt;0.05,"Poor Quality",IF(L8&gt;0.01,"Moderately Safe","Excellent"))</f>
        <v>Excellent</v>
      </c>
    </row>
    <row r="9" customFormat="false" ht="19.5" hidden="false" customHeight="true" outlineLevel="0" collapsed="false">
      <c r="A9" s="5" t="n">
        <v>2021</v>
      </c>
      <c r="B9" s="6" t="s">
        <v>69</v>
      </c>
      <c r="C9" s="6" t="s">
        <v>50</v>
      </c>
      <c r="D9" s="8" t="s">
        <v>19</v>
      </c>
      <c r="E9" s="8" t="s">
        <v>19</v>
      </c>
      <c r="F9" s="8" t="s">
        <v>19</v>
      </c>
      <c r="G9" s="8" t="s">
        <v>19</v>
      </c>
      <c r="H9" s="8" t="s">
        <v>19</v>
      </c>
      <c r="I9" s="8" t="n">
        <v>97</v>
      </c>
      <c r="J9" s="28" t="n">
        <f aca="false">IF(SUM(State_Quality_Summary!L9,State_Quality_Summary!N9)&gt;0, State_Quality_Summary!L9/SUM(State_Quality_Summary!L9,State_Quality_Summary!N9), 1)</f>
        <v>0.9998</v>
      </c>
      <c r="K9" s="29" t="n">
        <v>0</v>
      </c>
      <c r="L9" s="29" t="n">
        <f aca="false">IF(SUM(State_Quality_Summary!L9,State_Quality_Summary!N9)&gt;0, State_Quality_Summary!N9/SUM(State_Quality_Summary!L9,State_Quality_Summary!N9), 0)</f>
        <v>0.0002</v>
      </c>
      <c r="M9" s="29" t="n">
        <v>0</v>
      </c>
      <c r="N9" s="6" t="str">
        <f aca="false">IF(L9&gt;0.05,"Poor Quality",IF(L9&gt;0.01,"Moderately Safe","Excellent"))</f>
        <v>Excellent</v>
      </c>
    </row>
    <row r="10" customFormat="false" ht="19.5" hidden="false" customHeight="true" outlineLevel="0" collapsed="false">
      <c r="A10" s="9" t="n">
        <v>2021</v>
      </c>
      <c r="B10" s="10" t="s">
        <v>187</v>
      </c>
      <c r="C10" s="10" t="s">
        <v>188</v>
      </c>
      <c r="D10" s="12" t="s">
        <v>19</v>
      </c>
      <c r="E10" s="12" t="s">
        <v>19</v>
      </c>
      <c r="F10" s="12" t="s">
        <v>19</v>
      </c>
      <c r="G10" s="12" t="s">
        <v>19</v>
      </c>
      <c r="H10" s="12" t="s">
        <v>19</v>
      </c>
      <c r="I10" s="12" t="n">
        <v>65</v>
      </c>
      <c r="J10" s="28" t="n">
        <f aca="false">IF(SUM(State_Quality_Summary!L10,State_Quality_Summary!N10)&gt;0, State_Quality_Summary!L10/SUM(State_Quality_Summary!L10,State_Quality_Summary!N10), 1)</f>
        <v>0.999099995263133</v>
      </c>
      <c r="K10" s="30" t="n">
        <v>0</v>
      </c>
      <c r="L10" s="30" t="n">
        <f aca="false">IF(SUM(State_Quality_Summary!L10,State_Quality_Summary!N10)&gt;0, State_Quality_Summary!N10/SUM(State_Quality_Summary!L10,State_Quality_Summary!N10), 0)</f>
        <v>0.000900004736867036</v>
      </c>
      <c r="M10" s="30" t="n">
        <v>0</v>
      </c>
      <c r="N10" s="10" t="str">
        <f aca="false">IF(L10&gt;0.05,"Poor Quality",IF(L10&gt;0.01,"Moderately Safe","Excellent"))</f>
        <v>Excellent</v>
      </c>
    </row>
    <row r="11" customFormat="false" ht="19.5" hidden="false" customHeight="true" outlineLevel="0" collapsed="false">
      <c r="A11" s="5" t="n">
        <v>2021</v>
      </c>
      <c r="B11" s="6" t="s">
        <v>190</v>
      </c>
      <c r="C11" s="6" t="s">
        <v>177</v>
      </c>
      <c r="D11" s="8" t="s">
        <v>19</v>
      </c>
      <c r="E11" s="8" t="s">
        <v>19</v>
      </c>
      <c r="F11" s="8" t="s">
        <v>19</v>
      </c>
      <c r="G11" s="8" t="s">
        <v>19</v>
      </c>
      <c r="H11" s="8" t="s">
        <v>19</v>
      </c>
      <c r="I11" s="8" t="n">
        <v>2</v>
      </c>
      <c r="J11" s="28" t="n">
        <f aca="false">IF(SUM(State_Quality_Summary!L11,State_Quality_Summary!N11)&gt;0, State_Quality_Summary!L11/SUM(State_Quality_Summary!L11,State_Quality_Summary!N11), 1)</f>
        <v>1</v>
      </c>
      <c r="K11" s="29" t="n">
        <v>0</v>
      </c>
      <c r="L11" s="29" t="n">
        <f aca="false">IF(SUM(State_Quality_Summary!L11,State_Quality_Summary!N11)&gt;0, State_Quality_Summary!N11/SUM(State_Quality_Summary!L11,State_Quality_Summary!N11), 0)</f>
        <v>0</v>
      </c>
      <c r="M11" s="29" t="n">
        <v>0</v>
      </c>
      <c r="N11" s="6" t="str">
        <f aca="false">IF(L11&gt;0.05,"Poor Quality",IF(L11&gt;0.01,"Moderately Safe","Excellent"))</f>
        <v>Excellent</v>
      </c>
    </row>
    <row r="12" customFormat="false" ht="19.5" hidden="false" customHeight="true" outlineLevel="0" collapsed="false">
      <c r="A12" s="9" t="n">
        <v>2021</v>
      </c>
      <c r="B12" s="10" t="s">
        <v>191</v>
      </c>
      <c r="C12" s="10" t="s">
        <v>192</v>
      </c>
      <c r="D12" s="12" t="n">
        <v>3</v>
      </c>
      <c r="E12" s="12" t="s">
        <v>19</v>
      </c>
      <c r="F12" s="12" t="s">
        <v>19</v>
      </c>
      <c r="G12" s="12" t="s">
        <v>19</v>
      </c>
      <c r="H12" s="12" t="n">
        <v>3</v>
      </c>
      <c r="I12" s="12" t="n">
        <v>19</v>
      </c>
      <c r="J12" s="28" t="n">
        <f aca="false">IF(SUM(State_Quality_Summary!L12,State_Quality_Summary!N12)&gt;0, State_Quality_Summary!L12/SUM(State_Quality_Summary!L12,State_Quality_Summary!N12), 1)</f>
        <v>0.993603411513859</v>
      </c>
      <c r="K12" s="30" t="n">
        <v>0</v>
      </c>
      <c r="L12" s="30" t="n">
        <f aca="false">IF(SUM(State_Quality_Summary!L12,State_Quality_Summary!N12)&gt;0, State_Quality_Summary!N12/SUM(State_Quality_Summary!L12,State_Quality_Summary!N12), 0)</f>
        <v>0.00639658848614073</v>
      </c>
      <c r="M12" s="30" t="n">
        <v>0</v>
      </c>
      <c r="N12" s="10" t="str">
        <f aca="false">IF(L12&gt;0.05,"Poor Quality",IF(L12&gt;0.01,"Moderately Safe","Excellent"))</f>
        <v>Excellent</v>
      </c>
    </row>
    <row r="13" customFormat="false" ht="19.5" hidden="false" customHeight="true" outlineLevel="0" collapsed="false">
      <c r="A13" s="5" t="n">
        <v>2021</v>
      </c>
      <c r="B13" s="6" t="s">
        <v>194</v>
      </c>
      <c r="C13" s="6" t="s">
        <v>192</v>
      </c>
      <c r="D13" s="8" t="s">
        <v>19</v>
      </c>
      <c r="E13" s="8" t="s">
        <v>19</v>
      </c>
      <c r="F13" s="8" t="s">
        <v>19</v>
      </c>
      <c r="G13" s="8" t="s">
        <v>19</v>
      </c>
      <c r="H13" s="8" t="s">
        <v>19</v>
      </c>
      <c r="I13" s="8" t="n">
        <v>333</v>
      </c>
      <c r="J13" s="28" t="n">
        <f aca="false">IF(SUM(State_Quality_Summary!L13,State_Quality_Summary!N13)&gt;0, State_Quality_Summary!L13/SUM(State_Quality_Summary!L13,State_Quality_Summary!N13), 1)</f>
        <v>0.996599980289741</v>
      </c>
      <c r="K13" s="29" t="n">
        <v>0</v>
      </c>
      <c r="L13" s="29" t="n">
        <f aca="false">IF(SUM(State_Quality_Summary!L13,State_Quality_Summary!N13)&gt;0, State_Quality_Summary!N13/SUM(State_Quality_Summary!L13,State_Quality_Summary!N13), 0)</f>
        <v>0.00340001971025919</v>
      </c>
      <c r="M13" s="29" t="n">
        <v>0</v>
      </c>
      <c r="N13" s="6" t="str">
        <f aca="false">IF(L13&gt;0.05,"Poor Quality",IF(L13&gt;0.01,"Moderately Safe","Excellent"))</f>
        <v>Excellent</v>
      </c>
    </row>
    <row r="14" customFormat="false" ht="19.5" hidden="false" customHeight="true" outlineLevel="0" collapsed="false">
      <c r="A14" s="9" t="n">
        <v>2021</v>
      </c>
      <c r="B14" s="10" t="s">
        <v>38</v>
      </c>
      <c r="C14" s="10" t="s">
        <v>39</v>
      </c>
      <c r="D14" s="12" t="n">
        <v>40822</v>
      </c>
      <c r="E14" s="12" t="n">
        <v>40822</v>
      </c>
      <c r="F14" s="12" t="n">
        <v>1</v>
      </c>
      <c r="G14" s="12" t="s">
        <v>19</v>
      </c>
      <c r="H14" s="12" t="s">
        <v>19</v>
      </c>
      <c r="I14" s="12" t="n">
        <v>36</v>
      </c>
      <c r="J14" s="28" t="n">
        <f aca="false">IF(SUM(State_Quality_Summary!L14,State_Quality_Summary!N14)&gt;0, State_Quality_Summary!L14/SUM(State_Quality_Summary!L14,State_Quality_Summary!N14), 1)</f>
        <v>0.900798883114869</v>
      </c>
      <c r="K14" s="30" t="n">
        <v>0</v>
      </c>
      <c r="L14" s="30" t="n">
        <f aca="false">IF(SUM(State_Quality_Summary!L14,State_Quality_Summary!N14)&gt;0, State_Quality_Summary!N14/SUM(State_Quality_Summary!L14,State_Quality_Summary!N14), 0)</f>
        <v>0.0992011168851315</v>
      </c>
      <c r="M14" s="30" t="n">
        <v>0</v>
      </c>
      <c r="N14" s="10" t="str">
        <f aca="false">IF(L14&gt;0.05,"Poor Quality",IF(L14&gt;0.01,"Moderately Safe","Excellent"))</f>
        <v>Poor Quality</v>
      </c>
    </row>
    <row r="15" customFormat="false" ht="19.5" hidden="false" customHeight="true" outlineLevel="0" collapsed="false">
      <c r="A15" s="5" t="n">
        <v>2021</v>
      </c>
      <c r="B15" s="6" t="s">
        <v>197</v>
      </c>
      <c r="C15" s="6" t="s">
        <v>39</v>
      </c>
      <c r="D15" s="8" t="s">
        <v>19</v>
      </c>
      <c r="E15" s="8" t="s">
        <v>19</v>
      </c>
      <c r="F15" s="8" t="s">
        <v>19</v>
      </c>
      <c r="G15" s="8" t="s">
        <v>19</v>
      </c>
      <c r="H15" s="8" t="s">
        <v>19</v>
      </c>
      <c r="I15" s="8" t="n">
        <v>67</v>
      </c>
      <c r="J15" s="28" t="n">
        <f aca="false">IF(SUM(State_Quality_Summary!L15,State_Quality_Summary!N15)&gt;0, State_Quality_Summary!L15/SUM(State_Quality_Summary!L15,State_Quality_Summary!N15), 1)</f>
        <v>1</v>
      </c>
      <c r="K15" s="29" t="n">
        <v>0</v>
      </c>
      <c r="L15" s="29" t="n">
        <f aca="false">IF(SUM(State_Quality_Summary!L15,State_Quality_Summary!N15)&gt;0, State_Quality_Summary!N15/SUM(State_Quality_Summary!L15,State_Quality_Summary!N15), 0)</f>
        <v>0</v>
      </c>
      <c r="M15" s="29" t="n">
        <v>0</v>
      </c>
      <c r="N15" s="6" t="str">
        <f aca="false">IF(L15&gt;0.05,"Poor Quality",IF(L15&gt;0.01,"Moderately Safe","Excellent"))</f>
        <v>Excellent</v>
      </c>
    </row>
    <row r="16" customFormat="false" ht="19.5" hidden="false" customHeight="true" outlineLevel="0" collapsed="false">
      <c r="A16" s="9" t="n">
        <v>2021</v>
      </c>
      <c r="B16" s="10" t="s">
        <v>141</v>
      </c>
      <c r="C16" s="10" t="s">
        <v>39</v>
      </c>
      <c r="D16" s="12" t="s">
        <v>19</v>
      </c>
      <c r="E16" s="12" t="s">
        <v>19</v>
      </c>
      <c r="F16" s="12" t="s">
        <v>19</v>
      </c>
      <c r="G16" s="12" t="s">
        <v>19</v>
      </c>
      <c r="H16" s="12" t="s">
        <v>19</v>
      </c>
      <c r="I16" s="12" t="n">
        <v>80</v>
      </c>
      <c r="J16" s="28" t="n">
        <f aca="false">IF(SUM(State_Quality_Summary!L16,State_Quality_Summary!N16)&gt;0, State_Quality_Summary!L16/SUM(State_Quality_Summary!L16,State_Quality_Summary!N16), 1)</f>
        <v>0.999299997358481</v>
      </c>
      <c r="K16" s="30" t="n">
        <v>0</v>
      </c>
      <c r="L16" s="30" t="n">
        <f aca="false">IF(SUM(State_Quality_Summary!L16,State_Quality_Summary!N16)&gt;0, State_Quality_Summary!N16/SUM(State_Quality_Summary!L16,State_Quality_Summary!N16), 0)</f>
        <v>0.000700002641519402</v>
      </c>
      <c r="M16" s="30" t="n">
        <v>0</v>
      </c>
      <c r="N16" s="10" t="str">
        <f aca="false">IF(L16&gt;0.05,"Poor Quality",IF(L16&gt;0.01,"Moderately Safe","Excellent"))</f>
        <v>Excellent</v>
      </c>
    </row>
    <row r="17" customFormat="false" ht="19.5" hidden="false" customHeight="true" outlineLevel="0" collapsed="false">
      <c r="A17" s="5" t="n">
        <v>2021</v>
      </c>
      <c r="B17" s="6" t="s">
        <v>71</v>
      </c>
      <c r="C17" s="6" t="s">
        <v>50</v>
      </c>
      <c r="D17" s="8" t="s">
        <v>19</v>
      </c>
      <c r="E17" s="8" t="s">
        <v>19</v>
      </c>
      <c r="F17" s="8" t="s">
        <v>19</v>
      </c>
      <c r="G17" s="8" t="s">
        <v>19</v>
      </c>
      <c r="H17" s="8" t="s">
        <v>19</v>
      </c>
      <c r="I17" s="8" t="n">
        <v>31</v>
      </c>
      <c r="J17" s="28" t="n">
        <f aca="false">IF(SUM(State_Quality_Summary!L17,State_Quality_Summary!N17)&gt;0, State_Quality_Summary!L17/SUM(State_Quality_Summary!L17,State_Quality_Summary!N17), 1)</f>
        <v>0.9998</v>
      </c>
      <c r="K17" s="29" t="n">
        <v>0</v>
      </c>
      <c r="L17" s="29" t="n">
        <f aca="false">IF(SUM(State_Quality_Summary!L17,State_Quality_Summary!N17)&gt;0, State_Quality_Summary!N17/SUM(State_Quality_Summary!L17,State_Quality_Summary!N17), 0)</f>
        <v>0.0002</v>
      </c>
      <c r="M17" s="29" t="n">
        <v>0</v>
      </c>
      <c r="N17" s="6" t="str">
        <f aca="false">IF(L17&gt;0.05,"Poor Quality",IF(L17&gt;0.01,"Moderately Safe","Excellent"))</f>
        <v>Excellent</v>
      </c>
    </row>
    <row r="18" customFormat="false" ht="19.5" hidden="false" customHeight="true" outlineLevel="0" collapsed="false">
      <c r="A18" s="9" t="n">
        <v>2021</v>
      </c>
      <c r="B18" s="10" t="s">
        <v>111</v>
      </c>
      <c r="C18" s="10" t="s">
        <v>180</v>
      </c>
      <c r="D18" s="12" t="n">
        <v>11</v>
      </c>
      <c r="E18" s="12" t="s">
        <v>19</v>
      </c>
      <c r="F18" s="12" t="n">
        <v>1</v>
      </c>
      <c r="G18" s="12" t="s">
        <v>19</v>
      </c>
      <c r="H18" s="12" t="n">
        <v>11</v>
      </c>
      <c r="I18" s="12" t="n">
        <v>83</v>
      </c>
      <c r="J18" s="28" t="n">
        <f aca="false">IF(SUM(State_Quality_Summary!L18,State_Quality_Summary!N18)&gt;0, State_Quality_Summary!L18/SUM(State_Quality_Summary!L18,State_Quality_Summary!N18), 1)</f>
        <v>0.955100008299444</v>
      </c>
      <c r="K18" s="30" t="n">
        <v>0</v>
      </c>
      <c r="L18" s="30" t="n">
        <f aca="false">IF(SUM(State_Quality_Summary!L18,State_Quality_Summary!N18)&gt;0, State_Quality_Summary!N18/SUM(State_Quality_Summary!L18,State_Quality_Summary!N18), 0)</f>
        <v>0.0448999917005561</v>
      </c>
      <c r="M18" s="30" t="n">
        <v>0</v>
      </c>
      <c r="N18" s="10" t="str">
        <f aca="false">IF(L18&gt;0.05,"Poor Quality",IF(L18&gt;0.01,"Moderately Safe","Excellent"))</f>
        <v>Moderately Safe</v>
      </c>
    </row>
    <row r="19" customFormat="false" ht="19.5" hidden="false" customHeight="true" outlineLevel="0" collapsed="false">
      <c r="A19" s="5" t="n">
        <v>2021</v>
      </c>
      <c r="B19" s="6" t="s">
        <v>200</v>
      </c>
      <c r="C19" s="6" t="s">
        <v>180</v>
      </c>
      <c r="D19" s="8" t="s">
        <v>19</v>
      </c>
      <c r="E19" s="8" t="s">
        <v>19</v>
      </c>
      <c r="F19" s="8" t="s">
        <v>19</v>
      </c>
      <c r="G19" s="8" t="s">
        <v>19</v>
      </c>
      <c r="H19" s="8" t="s">
        <v>19</v>
      </c>
      <c r="I19" s="8" t="n">
        <v>79</v>
      </c>
      <c r="J19" s="28" t="n">
        <f aca="false">IF(SUM(State_Quality_Summary!L19,State_Quality_Summary!N19)&gt;0, State_Quality_Summary!L19/SUM(State_Quality_Summary!L19,State_Quality_Summary!N19), 1)</f>
        <v>0.914199656965962</v>
      </c>
      <c r="K19" s="29" t="n">
        <v>0</v>
      </c>
      <c r="L19" s="29" t="n">
        <f aca="false">IF(SUM(State_Quality_Summary!L19,State_Quality_Summary!N19)&gt;0, State_Quality_Summary!N19/SUM(State_Quality_Summary!L19,State_Quality_Summary!N19), 0)</f>
        <v>0.0858003430340385</v>
      </c>
      <c r="M19" s="29" t="n">
        <v>0</v>
      </c>
      <c r="N19" s="6" t="str">
        <f aca="false">IF(L19&gt;0.05,"Poor Quality",IF(L19&gt;0.01,"Moderately Safe","Excellent"))</f>
        <v>Poor Quality</v>
      </c>
    </row>
    <row r="20" customFormat="false" ht="19.5" hidden="false" customHeight="true" outlineLevel="0" collapsed="false">
      <c r="A20" s="9" t="n">
        <v>2021</v>
      </c>
      <c r="B20" s="10" t="s">
        <v>202</v>
      </c>
      <c r="C20" s="10" t="s">
        <v>177</v>
      </c>
      <c r="D20" s="12" t="s">
        <v>19</v>
      </c>
      <c r="E20" s="12" t="s">
        <v>19</v>
      </c>
      <c r="F20" s="12" t="s">
        <v>19</v>
      </c>
      <c r="G20" s="12" t="s">
        <v>19</v>
      </c>
      <c r="H20" s="12" t="s">
        <v>19</v>
      </c>
      <c r="I20" s="12" t="n">
        <v>7</v>
      </c>
      <c r="J20" s="28" t="n">
        <f aca="false">IF(SUM(State_Quality_Summary!L20,State_Quality_Summary!N20)&gt;0, State_Quality_Summary!L20/SUM(State_Quality_Summary!L20,State_Quality_Summary!N20), 1)</f>
        <v>0.976905311778291</v>
      </c>
      <c r="K20" s="30" t="n">
        <v>0</v>
      </c>
      <c r="L20" s="30" t="n">
        <f aca="false">IF(SUM(State_Quality_Summary!L20,State_Quality_Summary!N20)&gt;0, State_Quality_Summary!N20/SUM(State_Quality_Summary!L20,State_Quality_Summary!N20), 0)</f>
        <v>0.023094688221709</v>
      </c>
      <c r="M20" s="30" t="n">
        <v>0</v>
      </c>
      <c r="N20" s="10" t="str">
        <f aca="false">IF(L20&gt;0.05,"Poor Quality",IF(L20&gt;0.01,"Moderately Safe","Excellent"))</f>
        <v>Moderately Safe</v>
      </c>
    </row>
    <row r="21" customFormat="false" ht="19.5" hidden="false" customHeight="true" outlineLevel="0" collapsed="false">
      <c r="A21" s="5" t="n">
        <v>2021</v>
      </c>
      <c r="B21" s="6" t="s">
        <v>204</v>
      </c>
      <c r="C21" s="6" t="s">
        <v>177</v>
      </c>
      <c r="D21" s="8" t="s">
        <v>19</v>
      </c>
      <c r="E21" s="8" t="s">
        <v>19</v>
      </c>
      <c r="F21" s="8" t="s">
        <v>19</v>
      </c>
      <c r="G21" s="8" t="s">
        <v>19</v>
      </c>
      <c r="H21" s="8" t="s">
        <v>19</v>
      </c>
      <c r="I21" s="8" t="n">
        <v>7</v>
      </c>
      <c r="J21" s="28" t="n">
        <f aca="false">IF(SUM(State_Quality_Summary!L21,State_Quality_Summary!N21)&gt;0, State_Quality_Summary!L21/SUM(State_Quality_Summary!L21,State_Quality_Summary!N21), 1)</f>
        <v>0.9992</v>
      </c>
      <c r="K21" s="29" t="n">
        <v>0</v>
      </c>
      <c r="L21" s="29" t="n">
        <f aca="false">IF(SUM(State_Quality_Summary!L21,State_Quality_Summary!N21)&gt;0, State_Quality_Summary!N21/SUM(State_Quality_Summary!L21,State_Quality_Summary!N21), 0)</f>
        <v>0.0008</v>
      </c>
      <c r="M21" s="29" t="n">
        <v>0</v>
      </c>
      <c r="N21" s="6" t="str">
        <f aca="false">IF(L21&gt;0.05,"Poor Quality",IF(L21&gt;0.01,"Moderately Safe","Excellent"))</f>
        <v>Excellent</v>
      </c>
    </row>
    <row r="22" customFormat="false" ht="19.5" hidden="false" customHeight="true" outlineLevel="0" collapsed="false">
      <c r="A22" s="9" t="n">
        <v>2021</v>
      </c>
      <c r="B22" s="10" t="s">
        <v>206</v>
      </c>
      <c r="C22" s="10" t="s">
        <v>188</v>
      </c>
      <c r="D22" s="12" t="s">
        <v>19</v>
      </c>
      <c r="E22" s="12" t="s">
        <v>19</v>
      </c>
      <c r="F22" s="12" t="s">
        <v>19</v>
      </c>
      <c r="G22" s="12" t="s">
        <v>19</v>
      </c>
      <c r="H22" s="12" t="s">
        <v>19</v>
      </c>
      <c r="I22" s="12" t="n">
        <v>147</v>
      </c>
      <c r="J22" s="28" t="n">
        <f aca="false">IF(SUM(State_Quality_Summary!L22,State_Quality_Summary!N22)&gt;0, State_Quality_Summary!L22/SUM(State_Quality_Summary!L22,State_Quality_Summary!N22), 1)</f>
        <v>0.999700000731706</v>
      </c>
      <c r="K22" s="30" t="n">
        <v>0</v>
      </c>
      <c r="L22" s="30" t="n">
        <f aca="false">IF(SUM(State_Quality_Summary!L22,State_Quality_Summary!N22)&gt;0, State_Quality_Summary!N22/SUM(State_Quality_Summary!L22,State_Quality_Summary!N22), 0)</f>
        <v>0.000299999268294468</v>
      </c>
      <c r="M22" s="30" t="n">
        <v>0</v>
      </c>
      <c r="N22" s="10" t="str">
        <f aca="false">IF(L22&gt;0.05,"Poor Quality",IF(L22&gt;0.01,"Moderately Safe","Excellent"))</f>
        <v>Excellent</v>
      </c>
    </row>
    <row r="23" customFormat="false" ht="19.5" hidden="false" customHeight="true" outlineLevel="0" collapsed="false">
      <c r="A23" s="5" t="n">
        <v>2021</v>
      </c>
      <c r="B23" s="6" t="s">
        <v>208</v>
      </c>
      <c r="C23" s="6" t="s">
        <v>192</v>
      </c>
      <c r="D23" s="8" t="n">
        <v>30</v>
      </c>
      <c r="E23" s="8" t="s">
        <v>19</v>
      </c>
      <c r="F23" s="8" t="n">
        <v>1</v>
      </c>
      <c r="G23" s="8" t="s">
        <v>19</v>
      </c>
      <c r="H23" s="8" t="n">
        <v>30</v>
      </c>
      <c r="I23" s="8" t="n">
        <v>181</v>
      </c>
      <c r="J23" s="28" t="n">
        <f aca="false">IF(SUM(State_Quality_Summary!L23,State_Quality_Summary!N23)&gt;0, State_Quality_Summary!L23/SUM(State_Quality_Summary!L23,State_Quality_Summary!N23), 1)</f>
        <v>0.952400167384027</v>
      </c>
      <c r="K23" s="29" t="n">
        <v>0</v>
      </c>
      <c r="L23" s="29" t="n">
        <f aca="false">IF(SUM(State_Quality_Summary!L23,State_Quality_Summary!N23)&gt;0, State_Quality_Summary!N23/SUM(State_Quality_Summary!L23,State_Quality_Summary!N23), 0)</f>
        <v>0.0475998326159732</v>
      </c>
      <c r="M23" s="29" t="n">
        <v>0</v>
      </c>
      <c r="N23" s="6" t="str">
        <f aca="false">IF(L23&gt;0.05,"Poor Quality",IF(L23&gt;0.01,"Moderately Safe","Excellent"))</f>
        <v>Moderately Safe</v>
      </c>
    </row>
    <row r="24" customFormat="false" ht="19.5" hidden="false" customHeight="true" outlineLevel="0" collapsed="false">
      <c r="A24" s="9" t="n">
        <v>2021</v>
      </c>
      <c r="B24" s="10" t="s">
        <v>210</v>
      </c>
      <c r="C24" s="10" t="s">
        <v>183</v>
      </c>
      <c r="D24" s="12" t="s">
        <v>19</v>
      </c>
      <c r="E24" s="12" t="s">
        <v>19</v>
      </c>
      <c r="F24" s="12" t="s">
        <v>19</v>
      </c>
      <c r="G24" s="12" t="s">
        <v>19</v>
      </c>
      <c r="H24" s="12" t="s">
        <v>19</v>
      </c>
      <c r="I24" s="12" t="n">
        <v>11</v>
      </c>
      <c r="J24" s="28" t="n">
        <f aca="false">IF(SUM(State_Quality_Summary!L24,State_Quality_Summary!N24)&gt;0, State_Quality_Summary!L24/SUM(State_Quality_Summary!L24,State_Quality_Summary!N24), 1)</f>
        <v>1</v>
      </c>
      <c r="K24" s="30" t="n">
        <v>0</v>
      </c>
      <c r="L24" s="30" t="n">
        <f aca="false">IF(SUM(State_Quality_Summary!L24,State_Quality_Summary!N24)&gt;0, State_Quality_Summary!N24/SUM(State_Quality_Summary!L24,State_Quality_Summary!N24), 0)</f>
        <v>0</v>
      </c>
      <c r="M24" s="30" t="n">
        <v>0</v>
      </c>
      <c r="N24" s="10" t="str">
        <f aca="false">IF(L24&gt;0.05,"Poor Quality",IF(L24&gt;0.01,"Moderately Safe","Excellent"))</f>
        <v>Excellent</v>
      </c>
    </row>
    <row r="25" customFormat="false" ht="19.5" hidden="false" customHeight="true" outlineLevel="0" collapsed="false">
      <c r="A25" s="5" t="n">
        <v>2021</v>
      </c>
      <c r="B25" s="6" t="s">
        <v>211</v>
      </c>
      <c r="C25" s="6" t="s">
        <v>183</v>
      </c>
      <c r="D25" s="8" t="s">
        <v>19</v>
      </c>
      <c r="E25" s="8" t="s">
        <v>19</v>
      </c>
      <c r="F25" s="8" t="s">
        <v>19</v>
      </c>
      <c r="G25" s="8" t="s">
        <v>19</v>
      </c>
      <c r="H25" s="8" t="s">
        <v>19</v>
      </c>
      <c r="I25" s="8" t="n">
        <v>24</v>
      </c>
      <c r="J25" s="28" t="n">
        <f aca="false">IF(SUM(State_Quality_Summary!L25,State_Quality_Summary!N25)&gt;0, State_Quality_Summary!L25/SUM(State_Quality_Summary!L25,State_Quality_Summary!N25), 1)</f>
        <v>0.995</v>
      </c>
      <c r="K25" s="29" t="n">
        <v>0</v>
      </c>
      <c r="L25" s="29" t="n">
        <f aca="false">IF(SUM(State_Quality_Summary!L25,State_Quality_Summary!N25)&gt;0, State_Quality_Summary!N25/SUM(State_Quality_Summary!L25,State_Quality_Summary!N25), 0)</f>
        <v>0.005</v>
      </c>
      <c r="M25" s="29" t="n">
        <v>0</v>
      </c>
      <c r="N25" s="6" t="str">
        <f aca="false">IF(L25&gt;0.05,"Poor Quality",IF(L25&gt;0.01,"Moderately Safe","Excellent"))</f>
        <v>Excellent</v>
      </c>
    </row>
    <row r="26" customFormat="false" ht="19.5" hidden="false" customHeight="true" outlineLevel="0" collapsed="false">
      <c r="A26" s="9" t="n">
        <v>2021</v>
      </c>
      <c r="B26" s="10" t="s">
        <v>213</v>
      </c>
      <c r="C26" s="10" t="s">
        <v>183</v>
      </c>
      <c r="D26" s="12" t="s">
        <v>19</v>
      </c>
      <c r="E26" s="12" t="s">
        <v>19</v>
      </c>
      <c r="F26" s="12" t="s">
        <v>19</v>
      </c>
      <c r="G26" s="12" t="s">
        <v>19</v>
      </c>
      <c r="H26" s="12" t="s">
        <v>19</v>
      </c>
      <c r="I26" s="12" t="n">
        <v>22</v>
      </c>
      <c r="J26" s="28" t="n">
        <f aca="false">IF(SUM(State_Quality_Summary!L26,State_Quality_Summary!N26)&gt;0, State_Quality_Summary!L26/SUM(State_Quality_Summary!L26,State_Quality_Summary!N26), 1)</f>
        <v>0.947583390061266</v>
      </c>
      <c r="K26" s="30" t="n">
        <v>0</v>
      </c>
      <c r="L26" s="30" t="n">
        <f aca="false">IF(SUM(State_Quality_Summary!L26,State_Quality_Summary!N26)&gt;0, State_Quality_Summary!N26/SUM(State_Quality_Summary!L26,State_Quality_Summary!N26), 0)</f>
        <v>0.0524166099387338</v>
      </c>
      <c r="M26" s="30" t="n">
        <v>0</v>
      </c>
      <c r="N26" s="10" t="str">
        <f aca="false">IF(L26&gt;0.05,"Poor Quality",IF(L26&gt;0.01,"Moderately Safe","Excellent"))</f>
        <v>Poor Quality</v>
      </c>
    </row>
    <row r="27" customFormat="false" ht="19.5" hidden="false" customHeight="true" outlineLevel="0" collapsed="false">
      <c r="A27" s="5" t="n">
        <v>2021</v>
      </c>
      <c r="B27" s="6" t="s">
        <v>215</v>
      </c>
      <c r="C27" s="6" t="s">
        <v>183</v>
      </c>
      <c r="D27" s="8" t="s">
        <v>19</v>
      </c>
      <c r="E27" s="8" t="s">
        <v>19</v>
      </c>
      <c r="F27" s="8" t="s">
        <v>19</v>
      </c>
      <c r="G27" s="8" t="s">
        <v>19</v>
      </c>
      <c r="H27" s="8" t="s">
        <v>19</v>
      </c>
      <c r="I27" s="8" t="n">
        <v>10</v>
      </c>
      <c r="J27" s="28" t="n">
        <f aca="false">IF(SUM(State_Quality_Summary!L27,State_Quality_Summary!N27)&gt;0, State_Quality_Summary!L27/SUM(State_Quality_Summary!L27,State_Quality_Summary!N27), 1)</f>
        <v>1</v>
      </c>
      <c r="K27" s="29" t="n">
        <v>0</v>
      </c>
      <c r="L27" s="29" t="n">
        <f aca="false">IF(SUM(State_Quality_Summary!L27,State_Quality_Summary!N27)&gt;0, State_Quality_Summary!N27/SUM(State_Quality_Summary!L27,State_Quality_Summary!N27), 0)</f>
        <v>0</v>
      </c>
      <c r="M27" s="29" t="n">
        <v>0</v>
      </c>
      <c r="N27" s="6" t="str">
        <f aca="false">IF(L27&gt;0.05,"Poor Quality",IF(L27&gt;0.01,"Moderately Safe","Excellent"))</f>
        <v>Excellent</v>
      </c>
    </row>
    <row r="28" customFormat="false" ht="19.5" hidden="false" customHeight="true" outlineLevel="0" collapsed="false">
      <c r="A28" s="9" t="n">
        <v>2021</v>
      </c>
      <c r="B28" s="10" t="s">
        <v>49</v>
      </c>
      <c r="C28" s="10" t="s">
        <v>50</v>
      </c>
      <c r="D28" s="12" t="n">
        <v>1357</v>
      </c>
      <c r="E28" s="12" t="s">
        <v>19</v>
      </c>
      <c r="F28" s="12" t="n">
        <v>268</v>
      </c>
      <c r="G28" s="12" t="s">
        <v>19</v>
      </c>
      <c r="H28" s="12" t="n">
        <v>3</v>
      </c>
      <c r="I28" s="12" t="n">
        <v>124</v>
      </c>
      <c r="J28" s="28" t="n">
        <f aca="false">IF(SUM(State_Quality_Summary!L28,State_Quality_Summary!N28)&gt;0, State_Quality_Summary!L28/SUM(State_Quality_Summary!L28,State_Quality_Summary!N28), 1)</f>
        <v>0.990099966195007</v>
      </c>
      <c r="K28" s="30" t="n">
        <v>0</v>
      </c>
      <c r="L28" s="30" t="n">
        <f aca="false">IF(SUM(State_Quality_Summary!L28,State_Quality_Summary!N28)&gt;0, State_Quality_Summary!N28/SUM(State_Quality_Summary!L28,State_Quality_Summary!N28), 0)</f>
        <v>0.00990003380499348</v>
      </c>
      <c r="M28" s="30" t="n">
        <v>0</v>
      </c>
      <c r="N28" s="10" t="str">
        <f aca="false">IF(L28&gt;0.05,"Poor Quality",IF(L28&gt;0.01,"Moderately Safe","Excellent"))</f>
        <v>Excellent</v>
      </c>
    </row>
    <row r="29" customFormat="false" ht="19.5" hidden="false" customHeight="true" outlineLevel="0" collapsed="false">
      <c r="A29" s="5" t="n">
        <v>2021</v>
      </c>
      <c r="B29" s="6" t="s">
        <v>217</v>
      </c>
      <c r="C29" s="6" t="s">
        <v>177</v>
      </c>
      <c r="D29" s="8" t="s">
        <v>19</v>
      </c>
      <c r="E29" s="8" t="s">
        <v>19</v>
      </c>
      <c r="F29" s="8" t="s">
        <v>19</v>
      </c>
      <c r="G29" s="8" t="s">
        <v>19</v>
      </c>
      <c r="H29" s="8" t="s">
        <v>19</v>
      </c>
      <c r="I29" s="8" t="n">
        <v>2</v>
      </c>
      <c r="J29" s="28" t="n">
        <f aca="false">IF(SUM(State_Quality_Summary!L29,State_Quality_Summary!N29)&gt;0, State_Quality_Summary!L29/SUM(State_Quality_Summary!L29,State_Quality_Summary!N29), 1)</f>
        <v>1</v>
      </c>
      <c r="K29" s="29" t="n">
        <v>0</v>
      </c>
      <c r="L29" s="29" t="n">
        <f aca="false">IF(SUM(State_Quality_Summary!L29,State_Quality_Summary!N29)&gt;0, State_Quality_Summary!N29/SUM(State_Quality_Summary!L29,State_Quality_Summary!N29), 0)</f>
        <v>0</v>
      </c>
      <c r="M29" s="29" t="n">
        <v>0</v>
      </c>
      <c r="N29" s="6" t="str">
        <f aca="false">IF(L29&gt;0.05,"Poor Quality",IF(L29&gt;0.01,"Moderately Safe","Excellent"))</f>
        <v>Excellent</v>
      </c>
    </row>
    <row r="30" customFormat="false" ht="19.5" hidden="false" customHeight="true" outlineLevel="0" collapsed="false">
      <c r="A30" s="9" t="n">
        <v>2021</v>
      </c>
      <c r="B30" s="10" t="s">
        <v>218</v>
      </c>
      <c r="C30" s="10" t="s">
        <v>39</v>
      </c>
      <c r="D30" s="12" t="s">
        <v>19</v>
      </c>
      <c r="E30" s="12" t="s">
        <v>19</v>
      </c>
      <c r="F30" s="12" t="s">
        <v>19</v>
      </c>
      <c r="G30" s="12" t="s">
        <v>19</v>
      </c>
      <c r="H30" s="12" t="s">
        <v>19</v>
      </c>
      <c r="I30" s="12" t="n">
        <v>27</v>
      </c>
      <c r="J30" s="28" t="n">
        <f aca="false">IF(SUM(State_Quality_Summary!L30,State_Quality_Summary!N30)&gt;0, State_Quality_Summary!L30/SUM(State_Quality_Summary!L30,State_Quality_Summary!N30), 1)</f>
        <v>0.987900234004909</v>
      </c>
      <c r="K30" s="30" t="n">
        <v>0</v>
      </c>
      <c r="L30" s="30" t="n">
        <f aca="false">IF(SUM(State_Quality_Summary!L30,State_Quality_Summary!N30)&gt;0, State_Quality_Summary!N30/SUM(State_Quality_Summary!L30,State_Quality_Summary!N30), 0)</f>
        <v>0.0120997659950916</v>
      </c>
      <c r="M30" s="30" t="n">
        <v>0</v>
      </c>
      <c r="N30" s="10" t="str">
        <f aca="false">IF(L30&gt;0.05,"Poor Quality",IF(L30&gt;0.01,"Moderately Safe","Excellent"))</f>
        <v>Moderately Safe</v>
      </c>
    </row>
    <row r="31" customFormat="false" ht="19.5" hidden="false" customHeight="true" outlineLevel="0" collapsed="false">
      <c r="A31" s="5" t="n">
        <v>2021</v>
      </c>
      <c r="B31" s="6" t="s">
        <v>114</v>
      </c>
      <c r="C31" s="6" t="s">
        <v>192</v>
      </c>
      <c r="D31" s="8" t="s">
        <v>19</v>
      </c>
      <c r="E31" s="8" t="s">
        <v>19</v>
      </c>
      <c r="F31" s="8" t="s">
        <v>19</v>
      </c>
      <c r="G31" s="8" t="s">
        <v>19</v>
      </c>
      <c r="H31" s="8" t="s">
        <v>19</v>
      </c>
      <c r="I31" s="8" t="n">
        <v>64</v>
      </c>
      <c r="J31" s="28" t="n">
        <f aca="false">IF(SUM(State_Quality_Summary!L31,State_Quality_Summary!N31)&gt;0, State_Quality_Summary!L31/SUM(State_Quality_Summary!L31,State_Quality_Summary!N31), 1)</f>
        <v>0.888293438132667</v>
      </c>
      <c r="K31" s="29" t="n">
        <v>0</v>
      </c>
      <c r="L31" s="29" t="n">
        <f aca="false">IF(SUM(State_Quality_Summary!L31,State_Quality_Summary!N31)&gt;0, State_Quality_Summary!N31/SUM(State_Quality_Summary!L31,State_Quality_Summary!N31), 0)</f>
        <v>0.111706561867334</v>
      </c>
      <c r="M31" s="29" t="n">
        <v>0</v>
      </c>
      <c r="N31" s="6" t="str">
        <f aca="false">IF(L31&gt;0.05,"Poor Quality",IF(L31&gt;0.01,"Moderately Safe","Excellent"))</f>
        <v>Poor Quality</v>
      </c>
    </row>
    <row r="32" customFormat="false" ht="19.5" hidden="false" customHeight="true" outlineLevel="0" collapsed="false">
      <c r="A32" s="9" t="n">
        <v>2021</v>
      </c>
      <c r="B32" s="10" t="s">
        <v>221</v>
      </c>
      <c r="C32" s="10" t="s">
        <v>183</v>
      </c>
      <c r="D32" s="12" t="s">
        <v>19</v>
      </c>
      <c r="E32" s="12" t="s">
        <v>19</v>
      </c>
      <c r="F32" s="12" t="s">
        <v>19</v>
      </c>
      <c r="G32" s="12" t="s">
        <v>19</v>
      </c>
      <c r="H32" s="12" t="s">
        <v>19</v>
      </c>
      <c r="I32" s="12" t="n">
        <v>2</v>
      </c>
      <c r="J32" s="28" t="n">
        <f aca="false">IF(SUM(State_Quality_Summary!L32,State_Quality_Summary!N32)&gt;0, State_Quality_Summary!L32/SUM(State_Quality_Summary!L32,State_Quality_Summary!N32), 1)</f>
        <v>0.5</v>
      </c>
      <c r="K32" s="30" t="n">
        <v>0</v>
      </c>
      <c r="L32" s="30" t="n">
        <f aca="false">IF(SUM(State_Quality_Summary!L32,State_Quality_Summary!N32)&gt;0, State_Quality_Summary!N32/SUM(State_Quality_Summary!L32,State_Quality_Summary!N32), 0)</f>
        <v>0.5</v>
      </c>
      <c r="M32" s="30" t="n">
        <v>0</v>
      </c>
      <c r="N32" s="10" t="str">
        <f aca="false">IF(L32&gt;0.05,"Poor Quality",IF(L32&gt;0.01,"Moderately Safe","Excellent"))</f>
        <v>Poor Quality</v>
      </c>
    </row>
    <row r="33" customFormat="false" ht="19.5" hidden="false" customHeight="true" outlineLevel="0" collapsed="false">
      <c r="A33" s="5" t="n">
        <v>2021</v>
      </c>
      <c r="B33" s="6" t="s">
        <v>148</v>
      </c>
      <c r="C33" s="6" t="s">
        <v>180</v>
      </c>
      <c r="D33" s="8" t="s">
        <v>19</v>
      </c>
      <c r="E33" s="8" t="s">
        <v>19</v>
      </c>
      <c r="F33" s="8" t="s">
        <v>19</v>
      </c>
      <c r="G33" s="8" t="s">
        <v>19</v>
      </c>
      <c r="H33" s="8" t="s">
        <v>19</v>
      </c>
      <c r="I33" s="8" t="n">
        <v>90</v>
      </c>
      <c r="J33" s="28" t="n">
        <f aca="false">IF(SUM(State_Quality_Summary!L33,State_Quality_Summary!N33)&gt;0, State_Quality_Summary!L33/SUM(State_Quality_Summary!L33,State_Quality_Summary!N33), 1)</f>
        <v>0.9998</v>
      </c>
      <c r="K33" s="29" t="n">
        <v>0</v>
      </c>
      <c r="L33" s="29" t="n">
        <f aca="false">IF(SUM(State_Quality_Summary!L33,State_Quality_Summary!N33)&gt;0, State_Quality_Summary!N33/SUM(State_Quality_Summary!L33,State_Quality_Summary!N33), 0)</f>
        <v>0.0002</v>
      </c>
      <c r="M33" s="29" t="n">
        <v>0</v>
      </c>
      <c r="N33" s="6" t="str">
        <f aca="false">IF(L33&gt;0.05,"Poor Quality",IF(L33&gt;0.01,"Moderately Safe","Excellent"))</f>
        <v>Excellent</v>
      </c>
    </row>
    <row r="34" customFormat="false" ht="19.5" hidden="false" customHeight="true" outlineLevel="0" collapsed="false">
      <c r="A34" s="9" t="n">
        <v>2021</v>
      </c>
      <c r="B34" s="10" t="s">
        <v>108</v>
      </c>
      <c r="C34" s="10" t="s">
        <v>180</v>
      </c>
      <c r="D34" s="12" t="s">
        <v>19</v>
      </c>
      <c r="E34" s="12" t="s">
        <v>19</v>
      </c>
      <c r="F34" s="12" t="s">
        <v>19</v>
      </c>
      <c r="G34" s="12" t="s">
        <v>19</v>
      </c>
      <c r="H34" s="12" t="s">
        <v>19</v>
      </c>
      <c r="I34" s="12" t="n">
        <v>95</v>
      </c>
      <c r="J34" s="28" t="n">
        <f aca="false">IF(SUM(State_Quality_Summary!L34,State_Quality_Summary!N34)&gt;0, State_Quality_Summary!L34/SUM(State_Quality_Summary!L34,State_Quality_Summary!N34), 1)</f>
        <v>1</v>
      </c>
      <c r="K34" s="30" t="n">
        <v>0</v>
      </c>
      <c r="L34" s="30" t="n">
        <f aca="false">IF(SUM(State_Quality_Summary!L34,State_Quality_Summary!N34)&gt;0, State_Quality_Summary!N34/SUM(State_Quality_Summary!L34,State_Quality_Summary!N34), 0)</f>
        <v>0</v>
      </c>
      <c r="M34" s="30" t="n">
        <v>0</v>
      </c>
      <c r="N34" s="10" t="str">
        <f aca="false">IF(L34&gt;0.05,"Poor Quality",IF(L34&gt;0.01,"Moderately Safe","Excellent"))</f>
        <v>Excellent</v>
      </c>
    </row>
    <row r="35" customFormat="false" ht="19.5" hidden="false" customHeight="true" outlineLevel="0" collapsed="false">
      <c r="A35" s="5" t="n">
        <v>2021</v>
      </c>
      <c r="B35" s="6" t="s">
        <v>223</v>
      </c>
      <c r="C35" s="6" t="s">
        <v>183</v>
      </c>
      <c r="D35" s="8" t="s">
        <v>19</v>
      </c>
      <c r="E35" s="8" t="s">
        <v>19</v>
      </c>
      <c r="F35" s="8" t="s">
        <v>19</v>
      </c>
      <c r="G35" s="8" t="s">
        <v>19</v>
      </c>
      <c r="H35" s="8" t="s">
        <v>19</v>
      </c>
      <c r="I35" s="8" t="n">
        <v>17</v>
      </c>
      <c r="J35" s="28" t="n">
        <f aca="false">IF(SUM(State_Quality_Summary!L35,State_Quality_Summary!N35)&gt;0, State_Quality_Summary!L35/SUM(State_Quality_Summary!L35,State_Quality_Summary!N35), 1)</f>
        <v>0.998899976428066</v>
      </c>
      <c r="K35" s="29" t="n">
        <v>0</v>
      </c>
      <c r="L35" s="29" t="n">
        <f aca="false">IF(SUM(State_Quality_Summary!L35,State_Quality_Summary!N35)&gt;0, State_Quality_Summary!N35/SUM(State_Quality_Summary!L35,State_Quality_Summary!N35), 0)</f>
        <v>0.00110002357193368</v>
      </c>
      <c r="M35" s="29" t="n">
        <v>0</v>
      </c>
      <c r="N35" s="6" t="str">
        <f aca="false">IF(L35&gt;0.05,"Poor Quality",IF(L35&gt;0.01,"Moderately Safe","Excellent"))</f>
        <v>Excellent</v>
      </c>
    </row>
    <row r="36" customFormat="false" ht="19.5" hidden="false" customHeight="true" outlineLevel="0" collapsed="false">
      <c r="A36" s="9" t="n">
        <v>2021</v>
      </c>
      <c r="B36" s="10" t="s">
        <v>67</v>
      </c>
      <c r="C36" s="10" t="s">
        <v>39</v>
      </c>
      <c r="D36" s="12" t="n">
        <v>22</v>
      </c>
      <c r="E36" s="12" t="s">
        <v>19</v>
      </c>
      <c r="F36" s="12" t="n">
        <v>8</v>
      </c>
      <c r="G36" s="12" t="s">
        <v>19</v>
      </c>
      <c r="H36" s="12" t="n">
        <v>14</v>
      </c>
      <c r="I36" s="12" t="n">
        <v>113</v>
      </c>
      <c r="J36" s="28" t="n">
        <f aca="false">IF(SUM(State_Quality_Summary!L36,State_Quality_Summary!N36)&gt;0, State_Quality_Summary!L36/SUM(State_Quality_Summary!L36,State_Quality_Summary!N36), 1)</f>
        <v>0.991699972401386</v>
      </c>
      <c r="K36" s="30" t="n">
        <v>0</v>
      </c>
      <c r="L36" s="30" t="n">
        <f aca="false">IF(SUM(State_Quality_Summary!L36,State_Quality_Summary!N36)&gt;0, State_Quality_Summary!N36/SUM(State_Quality_Summary!L36,State_Quality_Summary!N36), 0)</f>
        <v>0.00830002759861394</v>
      </c>
      <c r="M36" s="30" t="n">
        <v>0</v>
      </c>
      <c r="N36" s="10" t="str">
        <f aca="false">IF(L36&gt;0.05,"Poor Quality",IF(L36&gt;0.01,"Moderately Safe","Excellent"))</f>
        <v>Excellent</v>
      </c>
    </row>
    <row r="37" customFormat="false" ht="19.5" hidden="false" customHeight="true" outlineLevel="0" collapsed="false">
      <c r="A37" s="5" t="n">
        <v>2021</v>
      </c>
      <c r="B37" s="6" t="s">
        <v>62</v>
      </c>
      <c r="C37" s="6" t="s">
        <v>39</v>
      </c>
      <c r="D37" s="8" t="s">
        <v>19</v>
      </c>
      <c r="E37" s="8" t="s">
        <v>19</v>
      </c>
      <c r="F37" s="8" t="s">
        <v>19</v>
      </c>
      <c r="G37" s="8" t="s">
        <v>19</v>
      </c>
      <c r="H37" s="8" t="s">
        <v>19</v>
      </c>
      <c r="I37" s="8" t="n">
        <v>23</v>
      </c>
      <c r="J37" s="28" t="n">
        <f aca="false">IF(SUM(State_Quality_Summary!L37,State_Quality_Summary!N37)&gt;0, State_Quality_Summary!L37/SUM(State_Quality_Summary!L37,State_Quality_Summary!N37), 1)</f>
        <v>0.988799949378302</v>
      </c>
      <c r="K37" s="29" t="n">
        <v>0</v>
      </c>
      <c r="L37" s="29" t="n">
        <f aca="false">IF(SUM(State_Quality_Summary!L37,State_Quality_Summary!N37)&gt;0, State_Quality_Summary!N37/SUM(State_Quality_Summary!L37,State_Quality_Summary!N37), 0)</f>
        <v>0.0112000506216977</v>
      </c>
      <c r="M37" s="29" t="n">
        <v>0</v>
      </c>
      <c r="N37" s="6" t="str">
        <f aca="false">IF(L37&gt;0.05,"Poor Quality",IF(L37&gt;0.01,"Moderately Safe","Excellent"))</f>
        <v>Moderately Safe</v>
      </c>
    </row>
    <row r="38" customFormat="false" ht="19.5" hidden="false" customHeight="true" outlineLevel="0" collapsed="false">
      <c r="A38" s="9" t="n">
        <v>2021</v>
      </c>
      <c r="B38" s="10" t="s">
        <v>73</v>
      </c>
      <c r="C38" s="10" t="s">
        <v>50</v>
      </c>
      <c r="D38" s="12" t="s">
        <v>19</v>
      </c>
      <c r="E38" s="12" t="s">
        <v>19</v>
      </c>
      <c r="F38" s="12" t="s">
        <v>19</v>
      </c>
      <c r="G38" s="12" t="s">
        <v>19</v>
      </c>
      <c r="H38" s="12" t="s">
        <v>19</v>
      </c>
      <c r="I38" s="12" t="n">
        <v>199</v>
      </c>
      <c r="J38" s="28" t="n">
        <f aca="false">IF(SUM(State_Quality_Summary!L38,State_Quality_Summary!N38)&gt;0, State_Quality_Summary!L38/SUM(State_Quality_Summary!L38,State_Quality_Summary!N38), 1)</f>
        <v>0.779497967287511</v>
      </c>
      <c r="K38" s="30" t="n">
        <v>0</v>
      </c>
      <c r="L38" s="30" t="n">
        <f aca="false">IF(SUM(State_Quality_Summary!L38,State_Quality_Summary!N38)&gt;0, State_Quality_Summary!N38/SUM(State_Quality_Summary!L38,State_Quality_Summary!N38), 0)</f>
        <v>0.220502032712489</v>
      </c>
      <c r="M38" s="30" t="n">
        <v>0</v>
      </c>
      <c r="N38" s="10" t="str">
        <f aca="false">IF(L38&gt;0.05,"Poor Quality",IF(L38&gt;0.01,"Moderately Safe","Excellent"))</f>
        <v>Poor Quality</v>
      </c>
    </row>
    <row r="39" customFormat="false" ht="15.75" hidden="false" customHeight="true" outlineLevel="0" collapsed="false">
      <c r="A39" s="13" t="n">
        <v>2022</v>
      </c>
      <c r="B39" s="13" t="s">
        <v>176</v>
      </c>
      <c r="C39" s="13" t="s">
        <v>177</v>
      </c>
      <c r="D39" s="15" t="s">
        <v>19</v>
      </c>
      <c r="E39" s="15" t="s">
        <v>19</v>
      </c>
      <c r="F39" s="15" t="s">
        <v>19</v>
      </c>
      <c r="G39" s="15" t="s">
        <v>19</v>
      </c>
      <c r="H39" s="15" t="s">
        <v>19</v>
      </c>
      <c r="I39" s="15" t="n">
        <v>9</v>
      </c>
      <c r="J39" s="31" t="n">
        <f aca="false">IF(SUM(State_Quality_Summary!L39,State_Quality_Summary!N39)&gt;0, State_Quality_Summary!L39/SUM(State_Quality_Summary!L39,State_Quality_Summary!N39), 1)</f>
        <v>0.9975</v>
      </c>
      <c r="K39" s="32" t="n">
        <v>0</v>
      </c>
      <c r="L39" s="32" t="n">
        <f aca="false">IF(SUM(State_Quality_Summary!L39,State_Quality_Summary!N39)&gt;0, State_Quality_Summary!N39/SUM(State_Quality_Summary!L39,State_Quality_Summary!N39), 0)</f>
        <v>0.0025</v>
      </c>
      <c r="M39" s="32" t="n">
        <v>0</v>
      </c>
      <c r="N39" s="13" t="str">
        <f aca="false">IF(L39&gt;0.05,"Poor Quality",IF(L39&gt;0.01,"Moderately Safe","Excellent"))</f>
        <v>Excellent</v>
      </c>
    </row>
    <row r="40" customFormat="false" ht="15.75" hidden="false" customHeight="true" outlineLevel="0" collapsed="false">
      <c r="A40" s="16" t="n">
        <v>2022</v>
      </c>
      <c r="B40" s="16" t="s">
        <v>13</v>
      </c>
      <c r="C40" s="16" t="s">
        <v>180</v>
      </c>
      <c r="D40" s="18" t="n">
        <v>115</v>
      </c>
      <c r="E40" s="18" t="s">
        <v>19</v>
      </c>
      <c r="F40" s="18" t="n">
        <v>4</v>
      </c>
      <c r="G40" s="18" t="s">
        <v>19</v>
      </c>
      <c r="H40" s="18" t="n">
        <v>115</v>
      </c>
      <c r="I40" s="18" t="n">
        <v>120</v>
      </c>
      <c r="J40" s="31" t="n">
        <f aca="false">IF(SUM(State_Quality_Summary!L40,State_Quality_Summary!N40)&gt;0, State_Quality_Summary!L40/SUM(State_Quality_Summary!L40,State_Quality_Summary!N40), 1)</f>
        <v>1</v>
      </c>
      <c r="K40" s="33" t="n">
        <v>0</v>
      </c>
      <c r="L40" s="33" t="n">
        <f aca="false">IF(SUM(State_Quality_Summary!L40,State_Quality_Summary!N40)&gt;0, State_Quality_Summary!N40/SUM(State_Quality_Summary!L40,State_Quality_Summary!N40), 0)</f>
        <v>0</v>
      </c>
      <c r="M40" s="33" t="n">
        <v>0</v>
      </c>
      <c r="N40" s="16" t="str">
        <f aca="false">IF(L40&gt;0.05,"Poor Quality",IF(L40&gt;0.01,"Moderately Safe","Excellent"))</f>
        <v>Excellent</v>
      </c>
    </row>
    <row r="41" customFormat="false" ht="15.75" hidden="false" customHeight="true" outlineLevel="0" collapsed="false">
      <c r="A41" s="13" t="n">
        <v>2022</v>
      </c>
      <c r="B41" s="13" t="s">
        <v>182</v>
      </c>
      <c r="C41" s="13" t="s">
        <v>183</v>
      </c>
      <c r="D41" s="15" t="s">
        <v>19</v>
      </c>
      <c r="E41" s="15" t="s">
        <v>19</v>
      </c>
      <c r="F41" s="15" t="s">
        <v>19</v>
      </c>
      <c r="G41" s="15" t="s">
        <v>19</v>
      </c>
      <c r="H41" s="15" t="s">
        <v>19</v>
      </c>
      <c r="I41" s="15" t="n">
        <v>33</v>
      </c>
      <c r="J41" s="31" t="n">
        <f aca="false">IF(SUM(State_Quality_Summary!L41,State_Quality_Summary!N41)&gt;0, State_Quality_Summary!L41/SUM(State_Quality_Summary!L41,State_Quality_Summary!N41), 1)</f>
        <v>1</v>
      </c>
      <c r="K41" s="32" t="n">
        <v>0</v>
      </c>
      <c r="L41" s="32" t="n">
        <f aca="false">IF(SUM(State_Quality_Summary!L41,State_Quality_Summary!N41)&gt;0, State_Quality_Summary!N41/SUM(State_Quality_Summary!L41,State_Quality_Summary!N41), 0)</f>
        <v>0</v>
      </c>
      <c r="M41" s="32" t="n">
        <v>0</v>
      </c>
      <c r="N41" s="13" t="str">
        <f aca="false">IF(L41&gt;0.05,"Poor Quality",IF(L41&gt;0.01,"Moderately Safe","Excellent"))</f>
        <v>Excellent</v>
      </c>
    </row>
    <row r="42" customFormat="false" ht="15.75" hidden="false" customHeight="true" outlineLevel="0" collapsed="false">
      <c r="A42" s="16" t="n">
        <v>2022</v>
      </c>
      <c r="B42" s="16" t="s">
        <v>184</v>
      </c>
      <c r="C42" s="16" t="s">
        <v>183</v>
      </c>
      <c r="D42" s="18" t="s">
        <v>19</v>
      </c>
      <c r="E42" s="18" t="s">
        <v>19</v>
      </c>
      <c r="F42" s="18" t="s">
        <v>19</v>
      </c>
      <c r="G42" s="18" t="s">
        <v>19</v>
      </c>
      <c r="H42" s="18" t="s">
        <v>19</v>
      </c>
      <c r="I42" s="18" t="n">
        <v>71</v>
      </c>
      <c r="J42" s="31" t="n">
        <f aca="false">IF(SUM(State_Quality_Summary!L42,State_Quality_Summary!N42)&gt;0, State_Quality_Summary!L42/SUM(State_Quality_Summary!L42,State_Quality_Summary!N42), 1)</f>
        <v>0.9906</v>
      </c>
      <c r="K42" s="33" t="n">
        <v>0</v>
      </c>
      <c r="L42" s="33" t="n">
        <f aca="false">IF(SUM(State_Quality_Summary!L42,State_Quality_Summary!N42)&gt;0, State_Quality_Summary!N42/SUM(State_Quality_Summary!L42,State_Quality_Summary!N42), 0)</f>
        <v>0.0094</v>
      </c>
      <c r="M42" s="33" t="n">
        <v>0</v>
      </c>
      <c r="N42" s="16" t="str">
        <f aca="false">IF(L42&gt;0.05,"Poor Quality",IF(L42&gt;0.01,"Moderately Safe","Excellent"))</f>
        <v>Excellent</v>
      </c>
    </row>
    <row r="43" customFormat="false" ht="15.75" hidden="false" customHeight="true" outlineLevel="0" collapsed="false">
      <c r="A43" s="13" t="n">
        <v>2022</v>
      </c>
      <c r="B43" s="13" t="s">
        <v>69</v>
      </c>
      <c r="C43" s="13" t="s">
        <v>50</v>
      </c>
      <c r="D43" s="15" t="s">
        <v>19</v>
      </c>
      <c r="E43" s="15" t="s">
        <v>19</v>
      </c>
      <c r="F43" s="15" t="s">
        <v>19</v>
      </c>
      <c r="G43" s="15" t="s">
        <v>19</v>
      </c>
      <c r="H43" s="15" t="s">
        <v>19</v>
      </c>
      <c r="I43" s="15" t="n">
        <v>103</v>
      </c>
      <c r="J43" s="31" t="n">
        <f aca="false">IF(SUM(State_Quality_Summary!L43,State_Quality_Summary!N43)&gt;0, State_Quality_Summary!L43/SUM(State_Quality_Summary!L43,State_Quality_Summary!N43), 1)</f>
        <v>0.9998</v>
      </c>
      <c r="K43" s="32" t="n">
        <v>0</v>
      </c>
      <c r="L43" s="32" t="n">
        <f aca="false">IF(SUM(State_Quality_Summary!L43,State_Quality_Summary!N43)&gt;0, State_Quality_Summary!N43/SUM(State_Quality_Summary!L43,State_Quality_Summary!N43), 0)</f>
        <v>0.0002</v>
      </c>
      <c r="M43" s="32" t="n">
        <v>0</v>
      </c>
      <c r="N43" s="13" t="str">
        <f aca="false">IF(L43&gt;0.05,"Poor Quality",IF(L43&gt;0.01,"Moderately Safe","Excellent"))</f>
        <v>Excellent</v>
      </c>
    </row>
    <row r="44" customFormat="false" ht="15.75" hidden="false" customHeight="true" outlineLevel="0" collapsed="false">
      <c r="A44" s="16" t="n">
        <v>2022</v>
      </c>
      <c r="B44" s="16" t="s">
        <v>187</v>
      </c>
      <c r="C44" s="16" t="s">
        <v>188</v>
      </c>
      <c r="D44" s="18" t="s">
        <v>19</v>
      </c>
      <c r="E44" s="18" t="s">
        <v>19</v>
      </c>
      <c r="F44" s="18" t="s">
        <v>19</v>
      </c>
      <c r="G44" s="18" t="s">
        <v>19</v>
      </c>
      <c r="H44" s="18" t="s">
        <v>19</v>
      </c>
      <c r="I44" s="18" t="n">
        <v>66</v>
      </c>
      <c r="J44" s="31" t="n">
        <f aca="false">IF(SUM(State_Quality_Summary!L44,State_Quality_Summary!N44)&gt;0, State_Quality_Summary!L44/SUM(State_Quality_Summary!L44,State_Quality_Summary!N44), 1)</f>
        <v>0.999300009545324</v>
      </c>
      <c r="K44" s="33" t="n">
        <v>0</v>
      </c>
      <c r="L44" s="33" t="n">
        <f aca="false">IF(SUM(State_Quality_Summary!L44,State_Quality_Summary!N44)&gt;0, State_Quality_Summary!N44/SUM(State_Quality_Summary!L44,State_Quality_Summary!N44), 0)</f>
        <v>0.000699990454675618</v>
      </c>
      <c r="M44" s="33" t="n">
        <v>0</v>
      </c>
      <c r="N44" s="16" t="str">
        <f aca="false">IF(L44&gt;0.05,"Poor Quality",IF(L44&gt;0.01,"Moderately Safe","Excellent"))</f>
        <v>Excellent</v>
      </c>
    </row>
    <row r="45" customFormat="false" ht="15.75" hidden="false" customHeight="true" outlineLevel="0" collapsed="false">
      <c r="A45" s="13" t="n">
        <v>2022</v>
      </c>
      <c r="B45" s="13" t="s">
        <v>190</v>
      </c>
      <c r="C45" s="13" t="s">
        <v>177</v>
      </c>
      <c r="D45" s="15" t="s">
        <v>19</v>
      </c>
      <c r="E45" s="15" t="s">
        <v>19</v>
      </c>
      <c r="F45" s="15" t="s">
        <v>19</v>
      </c>
      <c r="G45" s="15" t="s">
        <v>19</v>
      </c>
      <c r="H45" s="15" t="s">
        <v>19</v>
      </c>
      <c r="I45" s="15" t="n">
        <v>2</v>
      </c>
      <c r="J45" s="31" t="n">
        <f aca="false">IF(SUM(State_Quality_Summary!L45,State_Quality_Summary!N45)&gt;0, State_Quality_Summary!L45/SUM(State_Quality_Summary!L45,State_Quality_Summary!N45), 1)</f>
        <v>1</v>
      </c>
      <c r="K45" s="32" t="n">
        <v>0</v>
      </c>
      <c r="L45" s="32" t="n">
        <f aca="false">IF(SUM(State_Quality_Summary!L45,State_Quality_Summary!N45)&gt;0, State_Quality_Summary!N45/SUM(State_Quality_Summary!L45,State_Quality_Summary!N45), 0)</f>
        <v>0</v>
      </c>
      <c r="M45" s="32" t="n">
        <v>0</v>
      </c>
      <c r="N45" s="13" t="str">
        <f aca="false">IF(L45&gt;0.05,"Poor Quality",IF(L45&gt;0.01,"Moderately Safe","Excellent"))</f>
        <v>Excellent</v>
      </c>
    </row>
    <row r="46" customFormat="false" ht="15.75" hidden="false" customHeight="true" outlineLevel="0" collapsed="false">
      <c r="A46" s="16" t="n">
        <v>2022</v>
      </c>
      <c r="B46" s="16" t="s">
        <v>191</v>
      </c>
      <c r="C46" s="16" t="s">
        <v>192</v>
      </c>
      <c r="D46" s="18" t="n">
        <v>3</v>
      </c>
      <c r="E46" s="18" t="s">
        <v>19</v>
      </c>
      <c r="F46" s="18" t="s">
        <v>19</v>
      </c>
      <c r="G46" s="18" t="s">
        <v>19</v>
      </c>
      <c r="H46" s="18" t="n">
        <v>3</v>
      </c>
      <c r="I46" s="18" t="n">
        <v>21</v>
      </c>
      <c r="J46" s="31" t="n">
        <f aca="false">IF(SUM(State_Quality_Summary!L46,State_Quality_Summary!N46)&gt;0, State_Quality_Summary!L46/SUM(State_Quality_Summary!L46,State_Quality_Summary!N46), 1)</f>
        <v>0.993798449612403</v>
      </c>
      <c r="K46" s="33" t="n">
        <v>0</v>
      </c>
      <c r="L46" s="33" t="n">
        <f aca="false">IF(SUM(State_Quality_Summary!L46,State_Quality_Summary!N46)&gt;0, State_Quality_Summary!N46/SUM(State_Quality_Summary!L46,State_Quality_Summary!N46), 0)</f>
        <v>0.0062015503875969</v>
      </c>
      <c r="M46" s="33" t="n">
        <v>0</v>
      </c>
      <c r="N46" s="16" t="str">
        <f aca="false">IF(L46&gt;0.05,"Poor Quality",IF(L46&gt;0.01,"Moderately Safe","Excellent"))</f>
        <v>Excellent</v>
      </c>
    </row>
    <row r="47" customFormat="false" ht="15.75" hidden="false" customHeight="true" outlineLevel="0" collapsed="false">
      <c r="A47" s="13" t="n">
        <v>2022</v>
      </c>
      <c r="B47" s="13" t="s">
        <v>194</v>
      </c>
      <c r="C47" s="13" t="s">
        <v>192</v>
      </c>
      <c r="D47" s="15" t="s">
        <v>19</v>
      </c>
      <c r="E47" s="15" t="s">
        <v>19</v>
      </c>
      <c r="F47" s="15" t="s">
        <v>19</v>
      </c>
      <c r="G47" s="15" t="s">
        <v>19</v>
      </c>
      <c r="H47" s="15" t="s">
        <v>19</v>
      </c>
      <c r="I47" s="15" t="n">
        <v>347</v>
      </c>
      <c r="J47" s="31" t="n">
        <f aca="false">IF(SUM(State_Quality_Summary!L47,State_Quality_Summary!N47)&gt;0, State_Quality_Summary!L47/SUM(State_Quality_Summary!L47,State_Quality_Summary!N47), 1)</f>
        <v>0.997</v>
      </c>
      <c r="K47" s="32" t="n">
        <v>0</v>
      </c>
      <c r="L47" s="32" t="n">
        <f aca="false">IF(SUM(State_Quality_Summary!L47,State_Quality_Summary!N47)&gt;0, State_Quality_Summary!N47/SUM(State_Quality_Summary!L47,State_Quality_Summary!N47), 0)</f>
        <v>0.003</v>
      </c>
      <c r="M47" s="32" t="n">
        <v>0</v>
      </c>
      <c r="N47" s="13" t="str">
        <f aca="false">IF(L47&gt;0.05,"Poor Quality",IF(L47&gt;0.01,"Moderately Safe","Excellent"))</f>
        <v>Excellent</v>
      </c>
    </row>
    <row r="48" customFormat="false" ht="15.75" hidden="false" customHeight="true" outlineLevel="0" collapsed="false">
      <c r="A48" s="16" t="n">
        <v>2022</v>
      </c>
      <c r="B48" s="16" t="s">
        <v>38</v>
      </c>
      <c r="C48" s="16" t="s">
        <v>39</v>
      </c>
      <c r="D48" s="18" t="n">
        <v>40822</v>
      </c>
      <c r="E48" s="18" t="n">
        <v>40822</v>
      </c>
      <c r="F48" s="18" t="n">
        <v>1</v>
      </c>
      <c r="G48" s="18" t="s">
        <v>19</v>
      </c>
      <c r="H48" s="18" t="s">
        <v>19</v>
      </c>
      <c r="I48" s="18" t="n">
        <v>38</v>
      </c>
      <c r="J48" s="31" t="n">
        <f aca="false">IF(SUM(State_Quality_Summary!L48,State_Quality_Summary!N48)&gt;0, State_Quality_Summary!L48/SUM(State_Quality_Summary!L48,State_Quality_Summary!N48), 1)</f>
        <v>0.908401026079521</v>
      </c>
      <c r="K48" s="33" t="n">
        <v>0</v>
      </c>
      <c r="L48" s="33" t="n">
        <f aca="false">IF(SUM(State_Quality_Summary!L48,State_Quality_Summary!N48)&gt;0, State_Quality_Summary!N48/SUM(State_Quality_Summary!L48,State_Quality_Summary!N48), 0)</f>
        <v>0.0915989739204788</v>
      </c>
      <c r="M48" s="33" t="n">
        <v>0</v>
      </c>
      <c r="N48" s="16" t="str">
        <f aca="false">IF(L48&gt;0.05,"Poor Quality",IF(L48&gt;0.01,"Moderately Safe","Excellent"))</f>
        <v>Poor Quality</v>
      </c>
    </row>
    <row r="49" customFormat="false" ht="15.75" hidden="false" customHeight="true" outlineLevel="0" collapsed="false">
      <c r="A49" s="13" t="n">
        <v>2022</v>
      </c>
      <c r="B49" s="13" t="s">
        <v>197</v>
      </c>
      <c r="C49" s="13" t="s">
        <v>39</v>
      </c>
      <c r="D49" s="15" t="s">
        <v>19</v>
      </c>
      <c r="E49" s="15" t="s">
        <v>19</v>
      </c>
      <c r="F49" s="15" t="s">
        <v>19</v>
      </c>
      <c r="G49" s="15" t="s">
        <v>19</v>
      </c>
      <c r="H49" s="15" t="s">
        <v>19</v>
      </c>
      <c r="I49" s="15" t="n">
        <v>71</v>
      </c>
      <c r="J49" s="31" t="n">
        <f aca="false">IF(SUM(State_Quality_Summary!L49,State_Quality_Summary!N49)&gt;0, State_Quality_Summary!L49/SUM(State_Quality_Summary!L49,State_Quality_Summary!N49), 1)</f>
        <v>1</v>
      </c>
      <c r="K49" s="32" t="n">
        <v>0</v>
      </c>
      <c r="L49" s="32" t="n">
        <f aca="false">IF(SUM(State_Quality_Summary!L49,State_Quality_Summary!N49)&gt;0, State_Quality_Summary!N49/SUM(State_Quality_Summary!L49,State_Quality_Summary!N49), 0)</f>
        <v>0</v>
      </c>
      <c r="M49" s="32" t="n">
        <v>0</v>
      </c>
      <c r="N49" s="13" t="str">
        <f aca="false">IF(L49&gt;0.05,"Poor Quality",IF(L49&gt;0.01,"Moderately Safe","Excellent"))</f>
        <v>Excellent</v>
      </c>
    </row>
    <row r="50" customFormat="false" ht="15.75" hidden="false" customHeight="true" outlineLevel="0" collapsed="false">
      <c r="A50" s="16" t="n">
        <v>2022</v>
      </c>
      <c r="B50" s="16" t="s">
        <v>141</v>
      </c>
      <c r="C50" s="16" t="s">
        <v>39</v>
      </c>
      <c r="D50" s="18" t="s">
        <v>19</v>
      </c>
      <c r="E50" s="18" t="s">
        <v>19</v>
      </c>
      <c r="F50" s="18" t="s">
        <v>19</v>
      </c>
      <c r="G50" s="18" t="s">
        <v>19</v>
      </c>
      <c r="H50" s="18" t="s">
        <v>19</v>
      </c>
      <c r="I50" s="18" t="n">
        <v>86</v>
      </c>
      <c r="J50" s="31" t="n">
        <f aca="false">IF(SUM(State_Quality_Summary!L50,State_Quality_Summary!N50)&gt;0, State_Quality_Summary!L50/SUM(State_Quality_Summary!L50,State_Quality_Summary!N50), 1)</f>
        <v>0.999099994626834</v>
      </c>
      <c r="K50" s="33" t="n">
        <v>0</v>
      </c>
      <c r="L50" s="33" t="n">
        <f aca="false">IF(SUM(State_Quality_Summary!L50,State_Quality_Summary!N50)&gt;0, State_Quality_Summary!N50/SUM(State_Quality_Summary!L50,State_Quality_Summary!N50), 0)</f>
        <v>0.000900005373166407</v>
      </c>
      <c r="M50" s="33" t="n">
        <v>0</v>
      </c>
      <c r="N50" s="16" t="str">
        <f aca="false">IF(L50&gt;0.05,"Poor Quality",IF(L50&gt;0.01,"Moderately Safe","Excellent"))</f>
        <v>Excellent</v>
      </c>
    </row>
    <row r="51" customFormat="false" ht="15.75" hidden="false" customHeight="true" outlineLevel="0" collapsed="false">
      <c r="A51" s="13" t="n">
        <v>2022</v>
      </c>
      <c r="B51" s="13" t="s">
        <v>71</v>
      </c>
      <c r="C51" s="13" t="s">
        <v>50</v>
      </c>
      <c r="D51" s="15" t="s">
        <v>19</v>
      </c>
      <c r="E51" s="15" t="s">
        <v>19</v>
      </c>
      <c r="F51" s="15" t="s">
        <v>19</v>
      </c>
      <c r="G51" s="15" t="s">
        <v>19</v>
      </c>
      <c r="H51" s="15" t="s">
        <v>19</v>
      </c>
      <c r="I51" s="15" t="n">
        <v>33</v>
      </c>
      <c r="J51" s="31" t="n">
        <f aca="false">IF(SUM(State_Quality_Summary!L51,State_Quality_Summary!N51)&gt;0, State_Quality_Summary!L51/SUM(State_Quality_Summary!L51,State_Quality_Summary!N51), 1)</f>
        <v>0.9998</v>
      </c>
      <c r="K51" s="32" t="n">
        <v>0</v>
      </c>
      <c r="L51" s="32" t="n">
        <f aca="false">IF(SUM(State_Quality_Summary!L51,State_Quality_Summary!N51)&gt;0, State_Quality_Summary!N51/SUM(State_Quality_Summary!L51,State_Quality_Summary!N51), 0)</f>
        <v>0.0002</v>
      </c>
      <c r="M51" s="32" t="n">
        <v>0</v>
      </c>
      <c r="N51" s="13" t="str">
        <f aca="false">IF(L51&gt;0.05,"Poor Quality",IF(L51&gt;0.01,"Moderately Safe","Excellent"))</f>
        <v>Excellent</v>
      </c>
    </row>
    <row r="52" customFormat="false" ht="15.75" hidden="false" customHeight="true" outlineLevel="0" collapsed="false">
      <c r="A52" s="16" t="n">
        <v>2022</v>
      </c>
      <c r="B52" s="16" t="s">
        <v>111</v>
      </c>
      <c r="C52" s="16" t="s">
        <v>180</v>
      </c>
      <c r="D52" s="18" t="n">
        <v>11</v>
      </c>
      <c r="E52" s="18" t="s">
        <v>19</v>
      </c>
      <c r="F52" s="18" t="n">
        <v>1</v>
      </c>
      <c r="G52" s="18" t="s">
        <v>19</v>
      </c>
      <c r="H52" s="18" t="n">
        <v>11</v>
      </c>
      <c r="I52" s="18" t="n">
        <v>90</v>
      </c>
      <c r="J52" s="31" t="n">
        <f aca="false">IF(SUM(State_Quality_Summary!L52,State_Quality_Summary!N52)&gt;0, State_Quality_Summary!L52/SUM(State_Quality_Summary!L52,State_Quality_Summary!N52), 1)</f>
        <v>0.960499856363114</v>
      </c>
      <c r="K52" s="33" t="n">
        <v>0</v>
      </c>
      <c r="L52" s="33" t="n">
        <f aca="false">IF(SUM(State_Quality_Summary!L52,State_Quality_Summary!N52)&gt;0, State_Quality_Summary!N52/SUM(State_Quality_Summary!L52,State_Quality_Summary!N52), 0)</f>
        <v>0.039500143636886</v>
      </c>
      <c r="M52" s="33" t="n">
        <v>0</v>
      </c>
      <c r="N52" s="16" t="str">
        <f aca="false">IF(L52&gt;0.05,"Poor Quality",IF(L52&gt;0.01,"Moderately Safe","Excellent"))</f>
        <v>Moderately Safe</v>
      </c>
    </row>
    <row r="53" customFormat="false" ht="15.75" hidden="false" customHeight="true" outlineLevel="0" collapsed="false">
      <c r="A53" s="13" t="n">
        <v>2022</v>
      </c>
      <c r="B53" s="13" t="s">
        <v>200</v>
      </c>
      <c r="C53" s="13" t="s">
        <v>180</v>
      </c>
      <c r="D53" s="15" t="s">
        <v>19</v>
      </c>
      <c r="E53" s="15" t="s">
        <v>19</v>
      </c>
      <c r="F53" s="15" t="s">
        <v>19</v>
      </c>
      <c r="G53" s="15" t="s">
        <v>19</v>
      </c>
      <c r="H53" s="15" t="s">
        <v>19</v>
      </c>
      <c r="I53" s="15" t="n">
        <v>83</v>
      </c>
      <c r="J53" s="31" t="n">
        <f aca="false">IF(SUM(State_Quality_Summary!L53,State_Quality_Summary!N53)&gt;0, State_Quality_Summary!L53/SUM(State_Quality_Summary!L53,State_Quality_Summary!N53), 1)</f>
        <v>0.89360017777284</v>
      </c>
      <c r="K53" s="32" t="n">
        <v>0</v>
      </c>
      <c r="L53" s="32" t="n">
        <f aca="false">IF(SUM(State_Quality_Summary!L53,State_Quality_Summary!N53)&gt;0, State_Quality_Summary!N53/SUM(State_Quality_Summary!L53,State_Quality_Summary!N53), 0)</f>
        <v>0.10639982222716</v>
      </c>
      <c r="M53" s="32" t="n">
        <v>0</v>
      </c>
      <c r="N53" s="13" t="str">
        <f aca="false">IF(L53&gt;0.05,"Poor Quality",IF(L53&gt;0.01,"Moderately Safe","Excellent"))</f>
        <v>Poor Quality</v>
      </c>
    </row>
    <row r="54" customFormat="false" ht="15.75" hidden="false" customHeight="true" outlineLevel="0" collapsed="false">
      <c r="A54" s="16" t="n">
        <v>2022</v>
      </c>
      <c r="B54" s="16" t="s">
        <v>202</v>
      </c>
      <c r="C54" s="16" t="s">
        <v>177</v>
      </c>
      <c r="D54" s="18" t="s">
        <v>19</v>
      </c>
      <c r="E54" s="18" t="s">
        <v>19</v>
      </c>
      <c r="F54" s="18" t="s">
        <v>19</v>
      </c>
      <c r="G54" s="18" t="s">
        <v>19</v>
      </c>
      <c r="H54" s="18" t="s">
        <v>19</v>
      </c>
      <c r="I54" s="18" t="n">
        <v>8</v>
      </c>
      <c r="J54" s="31" t="n">
        <f aca="false">IF(SUM(State_Quality_Summary!L54,State_Quality_Summary!N54)&gt;0, State_Quality_Summary!L54/SUM(State_Quality_Summary!L54,State_Quality_Summary!N54), 1)</f>
        <v>0.979487179487179</v>
      </c>
      <c r="K54" s="33" t="n">
        <v>0</v>
      </c>
      <c r="L54" s="33" t="n">
        <f aca="false">IF(SUM(State_Quality_Summary!L54,State_Quality_Summary!N54)&gt;0, State_Quality_Summary!N54/SUM(State_Quality_Summary!L54,State_Quality_Summary!N54), 0)</f>
        <v>0.0205128205128205</v>
      </c>
      <c r="M54" s="33" t="n">
        <v>0</v>
      </c>
      <c r="N54" s="16" t="str">
        <f aca="false">IF(L54&gt;0.05,"Poor Quality",IF(L54&gt;0.01,"Moderately Safe","Excellent"))</f>
        <v>Moderately Safe</v>
      </c>
    </row>
    <row r="55" customFormat="false" ht="15.75" hidden="false" customHeight="true" outlineLevel="0" collapsed="false">
      <c r="A55" s="13" t="n">
        <v>2022</v>
      </c>
      <c r="B55" s="13" t="s">
        <v>204</v>
      </c>
      <c r="C55" s="13" t="s">
        <v>177</v>
      </c>
      <c r="D55" s="15" t="s">
        <v>19</v>
      </c>
      <c r="E55" s="15" t="s">
        <v>19</v>
      </c>
      <c r="F55" s="15" t="s">
        <v>19</v>
      </c>
      <c r="G55" s="15" t="s">
        <v>19</v>
      </c>
      <c r="H55" s="15" t="s">
        <v>19</v>
      </c>
      <c r="I55" s="15" t="n">
        <v>8</v>
      </c>
      <c r="J55" s="31" t="n">
        <f aca="false">IF(SUM(State_Quality_Summary!L55,State_Quality_Summary!N55)&gt;0, State_Quality_Summary!L55/SUM(State_Quality_Summary!L55,State_Quality_Summary!N55), 1)</f>
        <v>0.9992</v>
      </c>
      <c r="K55" s="32" t="n">
        <v>0</v>
      </c>
      <c r="L55" s="32" t="n">
        <f aca="false">IF(SUM(State_Quality_Summary!L55,State_Quality_Summary!N55)&gt;0, State_Quality_Summary!N55/SUM(State_Quality_Summary!L55,State_Quality_Summary!N55), 0)</f>
        <v>0.0008</v>
      </c>
      <c r="M55" s="32" t="n">
        <v>0</v>
      </c>
      <c r="N55" s="13" t="str">
        <f aca="false">IF(L55&gt;0.05,"Poor Quality",IF(L55&gt;0.01,"Moderately Safe","Excellent"))</f>
        <v>Excellent</v>
      </c>
    </row>
    <row r="56" customFormat="false" ht="15.75" hidden="false" customHeight="true" outlineLevel="0" collapsed="false">
      <c r="A56" s="16" t="n">
        <v>2022</v>
      </c>
      <c r="B56" s="16" t="s">
        <v>206</v>
      </c>
      <c r="C56" s="16" t="s">
        <v>188</v>
      </c>
      <c r="D56" s="18" t="s">
        <v>19</v>
      </c>
      <c r="E56" s="18" t="s">
        <v>19</v>
      </c>
      <c r="F56" s="18" t="s">
        <v>19</v>
      </c>
      <c r="G56" s="18" t="s">
        <v>19</v>
      </c>
      <c r="H56" s="18" t="s">
        <v>19</v>
      </c>
      <c r="I56" s="18" t="n">
        <v>158</v>
      </c>
      <c r="J56" s="31" t="n">
        <f aca="false">IF(SUM(State_Quality_Summary!L56,State_Quality_Summary!N56)&gt;0, State_Quality_Summary!L56/SUM(State_Quality_Summary!L56,State_Quality_Summary!N56), 1)</f>
        <v>0.999699999302324</v>
      </c>
      <c r="K56" s="33" t="n">
        <v>0</v>
      </c>
      <c r="L56" s="33" t="n">
        <f aca="false">IF(SUM(State_Quality_Summary!L56,State_Quality_Summary!N56)&gt;0, State_Quality_Summary!N56/SUM(State_Quality_Summary!L56,State_Quality_Summary!N56), 0)</f>
        <v>0.000300000697676041</v>
      </c>
      <c r="M56" s="33" t="n">
        <v>0</v>
      </c>
      <c r="N56" s="16" t="str">
        <f aca="false">IF(L56&gt;0.05,"Poor Quality",IF(L56&gt;0.01,"Moderately Safe","Excellent"))</f>
        <v>Excellent</v>
      </c>
    </row>
    <row r="57" customFormat="false" ht="15.75" hidden="false" customHeight="true" outlineLevel="0" collapsed="false">
      <c r="A57" s="13" t="n">
        <v>2022</v>
      </c>
      <c r="B57" s="13" t="s">
        <v>208</v>
      </c>
      <c r="C57" s="13" t="s">
        <v>192</v>
      </c>
      <c r="D57" s="15" t="n">
        <v>30</v>
      </c>
      <c r="E57" s="15" t="s">
        <v>19</v>
      </c>
      <c r="F57" s="15" t="n">
        <v>1</v>
      </c>
      <c r="G57" s="15" t="s">
        <v>19</v>
      </c>
      <c r="H57" s="15" t="n">
        <v>30</v>
      </c>
      <c r="I57" s="15" t="n">
        <v>197</v>
      </c>
      <c r="J57" s="31" t="n">
        <f aca="false">IF(SUM(State_Quality_Summary!L57,State_Quality_Summary!N57)&gt;0, State_Quality_Summary!L57/SUM(State_Quality_Summary!L57,State_Quality_Summary!N57), 1)</f>
        <v>0.960599970478364</v>
      </c>
      <c r="K57" s="32" t="n">
        <v>0</v>
      </c>
      <c r="L57" s="32" t="n">
        <f aca="false">IF(SUM(State_Quality_Summary!L57,State_Quality_Summary!N57)&gt;0, State_Quality_Summary!N57/SUM(State_Quality_Summary!L57,State_Quality_Summary!N57), 0)</f>
        <v>0.039400029521636</v>
      </c>
      <c r="M57" s="32" t="n">
        <v>0</v>
      </c>
      <c r="N57" s="13" t="str">
        <f aca="false">IF(L57&gt;0.05,"Poor Quality",IF(L57&gt;0.01,"Moderately Safe","Excellent"))</f>
        <v>Moderately Safe</v>
      </c>
    </row>
    <row r="58" customFormat="false" ht="15.75" hidden="false" customHeight="true" outlineLevel="0" collapsed="false">
      <c r="A58" s="16" t="n">
        <v>2022</v>
      </c>
      <c r="B58" s="16" t="s">
        <v>210</v>
      </c>
      <c r="C58" s="16" t="s">
        <v>183</v>
      </c>
      <c r="D58" s="18" t="s">
        <v>19</v>
      </c>
      <c r="E58" s="18" t="s">
        <v>19</v>
      </c>
      <c r="F58" s="18" t="s">
        <v>19</v>
      </c>
      <c r="G58" s="18" t="s">
        <v>19</v>
      </c>
      <c r="H58" s="18" t="s">
        <v>19</v>
      </c>
      <c r="I58" s="18" t="n">
        <v>12</v>
      </c>
      <c r="J58" s="31" t="n">
        <f aca="false">IF(SUM(State_Quality_Summary!L58,State_Quality_Summary!N58)&gt;0, State_Quality_Summary!L58/SUM(State_Quality_Summary!L58,State_Quality_Summary!N58), 1)</f>
        <v>1</v>
      </c>
      <c r="K58" s="33" t="n">
        <v>0</v>
      </c>
      <c r="L58" s="33" t="n">
        <f aca="false">IF(SUM(State_Quality_Summary!L58,State_Quality_Summary!N58)&gt;0, State_Quality_Summary!N58/SUM(State_Quality_Summary!L58,State_Quality_Summary!N58), 0)</f>
        <v>0</v>
      </c>
      <c r="M58" s="33" t="n">
        <v>0</v>
      </c>
      <c r="N58" s="16" t="str">
        <f aca="false">IF(L58&gt;0.05,"Poor Quality",IF(L58&gt;0.01,"Moderately Safe","Excellent"))</f>
        <v>Excellent</v>
      </c>
    </row>
    <row r="59" customFormat="false" ht="15.75" hidden="false" customHeight="true" outlineLevel="0" collapsed="false">
      <c r="A59" s="13" t="n">
        <v>2022</v>
      </c>
      <c r="B59" s="13" t="s">
        <v>211</v>
      </c>
      <c r="C59" s="13" t="s">
        <v>183</v>
      </c>
      <c r="D59" s="15" t="s">
        <v>19</v>
      </c>
      <c r="E59" s="15" t="s">
        <v>19</v>
      </c>
      <c r="F59" s="15" t="s">
        <v>19</v>
      </c>
      <c r="G59" s="15" t="s">
        <v>19</v>
      </c>
      <c r="H59" s="15" t="s">
        <v>19</v>
      </c>
      <c r="I59" s="15" t="n">
        <v>25</v>
      </c>
      <c r="J59" s="31" t="n">
        <f aca="false">IF(SUM(State_Quality_Summary!L59,State_Quality_Summary!N59)&gt;0, State_Quality_Summary!L59/SUM(State_Quality_Summary!L59,State_Quality_Summary!N59), 1)</f>
        <v>0.995300091837286</v>
      </c>
      <c r="K59" s="32" t="n">
        <v>0</v>
      </c>
      <c r="L59" s="32" t="n">
        <f aca="false">IF(SUM(State_Quality_Summary!L59,State_Quality_Summary!N59)&gt;0, State_Quality_Summary!N59/SUM(State_Quality_Summary!L59,State_Quality_Summary!N59), 0)</f>
        <v>0.00469990816271406</v>
      </c>
      <c r="M59" s="32" t="n">
        <v>0</v>
      </c>
      <c r="N59" s="13" t="str">
        <f aca="false">IF(L59&gt;0.05,"Poor Quality",IF(L59&gt;0.01,"Moderately Safe","Excellent"))</f>
        <v>Excellent</v>
      </c>
    </row>
    <row r="60" customFormat="false" ht="15.75" hidden="false" customHeight="true" outlineLevel="0" collapsed="false">
      <c r="A60" s="16" t="n">
        <v>2022</v>
      </c>
      <c r="B60" s="16" t="s">
        <v>213</v>
      </c>
      <c r="C60" s="16" t="s">
        <v>183</v>
      </c>
      <c r="D60" s="18" t="s">
        <v>19</v>
      </c>
      <c r="E60" s="18" t="s">
        <v>19</v>
      </c>
      <c r="F60" s="18" t="s">
        <v>19</v>
      </c>
      <c r="G60" s="18" t="s">
        <v>19</v>
      </c>
      <c r="H60" s="18" t="s">
        <v>19</v>
      </c>
      <c r="I60" s="18" t="n">
        <v>23</v>
      </c>
      <c r="J60" s="31" t="n">
        <f aca="false">IF(SUM(State_Quality_Summary!L60,State_Quality_Summary!N60)&gt;0, State_Quality_Summary!L60/SUM(State_Quality_Summary!L60,State_Quality_Summary!N60), 1)</f>
        <v>0.95</v>
      </c>
      <c r="K60" s="33" t="n">
        <v>0</v>
      </c>
      <c r="L60" s="33" t="n">
        <f aca="false">IF(SUM(State_Quality_Summary!L60,State_Quality_Summary!N60)&gt;0, State_Quality_Summary!N60/SUM(State_Quality_Summary!L60,State_Quality_Summary!N60), 0)</f>
        <v>0.05</v>
      </c>
      <c r="M60" s="33" t="n">
        <v>0</v>
      </c>
      <c r="N60" s="16" t="str">
        <f aca="false">IF(L60&gt;0.05,"Poor Quality",IF(L60&gt;0.01,"Moderately Safe","Excellent"))</f>
        <v>Moderately Safe</v>
      </c>
    </row>
    <row r="61" customFormat="false" ht="15.75" hidden="false" customHeight="true" outlineLevel="0" collapsed="false">
      <c r="A61" s="13" t="n">
        <v>2022</v>
      </c>
      <c r="B61" s="13" t="s">
        <v>215</v>
      </c>
      <c r="C61" s="13" t="s">
        <v>183</v>
      </c>
      <c r="D61" s="15" t="s">
        <v>19</v>
      </c>
      <c r="E61" s="15" t="s">
        <v>19</v>
      </c>
      <c r="F61" s="15" t="s">
        <v>19</v>
      </c>
      <c r="G61" s="15" t="s">
        <v>19</v>
      </c>
      <c r="H61" s="15" t="s">
        <v>19</v>
      </c>
      <c r="I61" s="15" t="n">
        <v>10</v>
      </c>
      <c r="J61" s="31" t="n">
        <f aca="false">IF(SUM(State_Quality_Summary!L61,State_Quality_Summary!N61)&gt;0, State_Quality_Summary!L61/SUM(State_Quality_Summary!L61,State_Quality_Summary!N61), 1)</f>
        <v>1</v>
      </c>
      <c r="K61" s="32" t="n">
        <v>0</v>
      </c>
      <c r="L61" s="32" t="n">
        <f aca="false">IF(SUM(State_Quality_Summary!L61,State_Quality_Summary!N61)&gt;0, State_Quality_Summary!N61/SUM(State_Quality_Summary!L61,State_Quality_Summary!N61), 0)</f>
        <v>0</v>
      </c>
      <c r="M61" s="32" t="n">
        <v>0</v>
      </c>
      <c r="N61" s="13" t="str">
        <f aca="false">IF(L61&gt;0.05,"Poor Quality",IF(L61&gt;0.01,"Moderately Safe","Excellent"))</f>
        <v>Excellent</v>
      </c>
    </row>
    <row r="62" customFormat="false" ht="15.75" hidden="false" customHeight="true" outlineLevel="0" collapsed="false">
      <c r="A62" s="16" t="n">
        <v>2022</v>
      </c>
      <c r="B62" s="16" t="s">
        <v>49</v>
      </c>
      <c r="C62" s="16" t="s">
        <v>50</v>
      </c>
      <c r="D62" s="18" t="n">
        <v>1357</v>
      </c>
      <c r="E62" s="18" t="s">
        <v>19</v>
      </c>
      <c r="F62" s="18" t="n">
        <v>268</v>
      </c>
      <c r="G62" s="18" t="s">
        <v>19</v>
      </c>
      <c r="H62" s="18" t="n">
        <v>3</v>
      </c>
      <c r="I62" s="18" t="n">
        <v>138</v>
      </c>
      <c r="J62" s="31" t="n">
        <f aca="false">IF(SUM(State_Quality_Summary!L62,State_Quality_Summary!N62)&gt;0, State_Quality_Summary!L62/SUM(State_Quality_Summary!L62,State_Quality_Summary!N62), 1)</f>
        <v>0.9904</v>
      </c>
      <c r="K62" s="33" t="n">
        <v>0</v>
      </c>
      <c r="L62" s="33" t="n">
        <f aca="false">IF(SUM(State_Quality_Summary!L62,State_Quality_Summary!N62)&gt;0, State_Quality_Summary!N62/SUM(State_Quality_Summary!L62,State_Quality_Summary!N62), 0)</f>
        <v>0.0096</v>
      </c>
      <c r="M62" s="33" t="n">
        <v>0</v>
      </c>
      <c r="N62" s="16" t="str">
        <f aca="false">IF(L62&gt;0.05,"Poor Quality",IF(L62&gt;0.01,"Moderately Safe","Excellent"))</f>
        <v>Excellent</v>
      </c>
    </row>
    <row r="63" customFormat="false" ht="15.75" hidden="false" customHeight="true" outlineLevel="0" collapsed="false">
      <c r="A63" s="13" t="n">
        <v>2022</v>
      </c>
      <c r="B63" s="13" t="s">
        <v>217</v>
      </c>
      <c r="C63" s="13" t="s">
        <v>177</v>
      </c>
      <c r="D63" s="15" t="s">
        <v>19</v>
      </c>
      <c r="E63" s="15" t="s">
        <v>19</v>
      </c>
      <c r="F63" s="15" t="s">
        <v>19</v>
      </c>
      <c r="G63" s="15" t="s">
        <v>19</v>
      </c>
      <c r="H63" s="15" t="s">
        <v>19</v>
      </c>
      <c r="I63" s="15" t="n">
        <v>2</v>
      </c>
      <c r="J63" s="31" t="n">
        <f aca="false">IF(SUM(State_Quality_Summary!L63,State_Quality_Summary!N63)&gt;0, State_Quality_Summary!L63/SUM(State_Quality_Summary!L63,State_Quality_Summary!N63), 1)</f>
        <v>1</v>
      </c>
      <c r="K63" s="32" t="n">
        <v>0</v>
      </c>
      <c r="L63" s="32" t="n">
        <f aca="false">IF(SUM(State_Quality_Summary!L63,State_Quality_Summary!N63)&gt;0, State_Quality_Summary!N63/SUM(State_Quality_Summary!L63,State_Quality_Summary!N63), 0)</f>
        <v>0</v>
      </c>
      <c r="M63" s="32" t="n">
        <v>0</v>
      </c>
      <c r="N63" s="13" t="str">
        <f aca="false">IF(L63&gt;0.05,"Poor Quality",IF(L63&gt;0.01,"Moderately Safe","Excellent"))</f>
        <v>Excellent</v>
      </c>
    </row>
    <row r="64" customFormat="false" ht="15.75" hidden="false" customHeight="true" outlineLevel="0" collapsed="false">
      <c r="A64" s="16" t="n">
        <v>2022</v>
      </c>
      <c r="B64" s="16" t="s">
        <v>218</v>
      </c>
      <c r="C64" s="16" t="s">
        <v>39</v>
      </c>
      <c r="D64" s="18" t="s">
        <v>19</v>
      </c>
      <c r="E64" s="18" t="s">
        <v>19</v>
      </c>
      <c r="F64" s="18" t="s">
        <v>19</v>
      </c>
      <c r="G64" s="18" t="s">
        <v>19</v>
      </c>
      <c r="H64" s="18" t="s">
        <v>19</v>
      </c>
      <c r="I64" s="18" t="n">
        <v>28</v>
      </c>
      <c r="J64" s="31" t="n">
        <f aca="false">IF(SUM(State_Quality_Summary!L64,State_Quality_Summary!N64)&gt;0, State_Quality_Summary!L64/SUM(State_Quality_Summary!L64,State_Quality_Summary!N64), 1)</f>
        <v>0.989100216230528</v>
      </c>
      <c r="K64" s="33" t="n">
        <v>0</v>
      </c>
      <c r="L64" s="33" t="n">
        <f aca="false">IF(SUM(State_Quality_Summary!L64,State_Quality_Summary!N64)&gt;0, State_Quality_Summary!N64/SUM(State_Quality_Summary!L64,State_Quality_Summary!N64), 0)</f>
        <v>0.0108997837694718</v>
      </c>
      <c r="M64" s="33" t="n">
        <v>0</v>
      </c>
      <c r="N64" s="16" t="str">
        <f aca="false">IF(L64&gt;0.05,"Poor Quality",IF(L64&gt;0.01,"Moderately Safe","Excellent"))</f>
        <v>Moderately Safe</v>
      </c>
    </row>
    <row r="65" customFormat="false" ht="15.75" hidden="false" customHeight="true" outlineLevel="0" collapsed="false">
      <c r="A65" s="13" t="n">
        <v>2022</v>
      </c>
      <c r="B65" s="13" t="s">
        <v>114</v>
      </c>
      <c r="C65" s="13" t="s">
        <v>192</v>
      </c>
      <c r="D65" s="15" t="s">
        <v>19</v>
      </c>
      <c r="E65" s="15" t="s">
        <v>19</v>
      </c>
      <c r="F65" s="15" t="s">
        <v>19</v>
      </c>
      <c r="G65" s="15" t="s">
        <v>19</v>
      </c>
      <c r="H65" s="15" t="s">
        <v>19</v>
      </c>
      <c r="I65" s="15" t="n">
        <v>69</v>
      </c>
      <c r="J65" s="31" t="n">
        <f aca="false">IF(SUM(State_Quality_Summary!L65,State_Quality_Summary!N65)&gt;0, State_Quality_Summary!L65/SUM(State_Quality_Summary!L65,State_Quality_Summary!N65), 1)</f>
        <v>0.903901202257299</v>
      </c>
      <c r="K65" s="32" t="n">
        <v>0</v>
      </c>
      <c r="L65" s="32" t="n">
        <f aca="false">IF(SUM(State_Quality_Summary!L65,State_Quality_Summary!N65)&gt;0, State_Quality_Summary!N65/SUM(State_Quality_Summary!L65,State_Quality_Summary!N65), 0)</f>
        <v>0.0960987977427006</v>
      </c>
      <c r="M65" s="32" t="n">
        <v>0</v>
      </c>
      <c r="N65" s="13" t="str">
        <f aca="false">IF(L65&gt;0.05,"Poor Quality",IF(L65&gt;0.01,"Moderately Safe","Excellent"))</f>
        <v>Poor Quality</v>
      </c>
    </row>
    <row r="66" customFormat="false" ht="15.75" hidden="false" customHeight="true" outlineLevel="0" collapsed="false">
      <c r="A66" s="16" t="n">
        <v>2022</v>
      </c>
      <c r="B66" s="16" t="s">
        <v>221</v>
      </c>
      <c r="C66" s="16" t="s">
        <v>183</v>
      </c>
      <c r="D66" s="18" t="s">
        <v>19</v>
      </c>
      <c r="E66" s="18" t="s">
        <v>19</v>
      </c>
      <c r="F66" s="18" t="s">
        <v>19</v>
      </c>
      <c r="G66" s="18" t="s">
        <v>19</v>
      </c>
      <c r="H66" s="18" t="s">
        <v>19</v>
      </c>
      <c r="I66" s="18" t="n">
        <v>2</v>
      </c>
      <c r="J66" s="31" t="n">
        <f aca="false">IF(SUM(State_Quality_Summary!L66,State_Quality_Summary!N66)&gt;0, State_Quality_Summary!L66/SUM(State_Quality_Summary!L66,State_Quality_Summary!N66), 1)</f>
        <v>0.5</v>
      </c>
      <c r="K66" s="33" t="n">
        <v>0</v>
      </c>
      <c r="L66" s="33" t="n">
        <f aca="false">IF(SUM(State_Quality_Summary!L66,State_Quality_Summary!N66)&gt;0, State_Quality_Summary!N66/SUM(State_Quality_Summary!L66,State_Quality_Summary!N66), 0)</f>
        <v>0.5</v>
      </c>
      <c r="M66" s="33" t="n">
        <v>0</v>
      </c>
      <c r="N66" s="16" t="str">
        <f aca="false">IF(L66&gt;0.05,"Poor Quality",IF(L66&gt;0.01,"Moderately Safe","Excellent"))</f>
        <v>Poor Quality</v>
      </c>
    </row>
    <row r="67" customFormat="false" ht="15.75" hidden="false" customHeight="true" outlineLevel="0" collapsed="false">
      <c r="A67" s="13" t="n">
        <v>2022</v>
      </c>
      <c r="B67" s="13" t="s">
        <v>148</v>
      </c>
      <c r="C67" s="13" t="s">
        <v>180</v>
      </c>
      <c r="D67" s="15" t="s">
        <v>19</v>
      </c>
      <c r="E67" s="15" t="s">
        <v>19</v>
      </c>
      <c r="F67" s="15" t="s">
        <v>19</v>
      </c>
      <c r="G67" s="15" t="s">
        <v>19</v>
      </c>
      <c r="H67" s="15" t="s">
        <v>19</v>
      </c>
      <c r="I67" s="15" t="n">
        <v>98</v>
      </c>
      <c r="J67" s="31" t="n">
        <f aca="false">IF(SUM(State_Quality_Summary!L67,State_Quality_Summary!N67)&gt;0, State_Quality_Summary!L67/SUM(State_Quality_Summary!L67,State_Quality_Summary!N67), 1)</f>
        <v>0.9998</v>
      </c>
      <c r="K67" s="32" t="n">
        <v>0</v>
      </c>
      <c r="L67" s="32" t="n">
        <f aca="false">IF(SUM(State_Quality_Summary!L67,State_Quality_Summary!N67)&gt;0, State_Quality_Summary!N67/SUM(State_Quality_Summary!L67,State_Quality_Summary!N67), 0)</f>
        <v>0.0002</v>
      </c>
      <c r="M67" s="32" t="n">
        <v>0</v>
      </c>
      <c r="N67" s="13" t="str">
        <f aca="false">IF(L67&gt;0.05,"Poor Quality",IF(L67&gt;0.01,"Moderately Safe","Excellent"))</f>
        <v>Excellent</v>
      </c>
    </row>
    <row r="68" customFormat="false" ht="15.75" hidden="false" customHeight="true" outlineLevel="0" collapsed="false">
      <c r="A68" s="16" t="n">
        <v>2022</v>
      </c>
      <c r="B68" s="16" t="s">
        <v>108</v>
      </c>
      <c r="C68" s="16" t="s">
        <v>180</v>
      </c>
      <c r="D68" s="18" t="s">
        <v>19</v>
      </c>
      <c r="E68" s="18" t="s">
        <v>19</v>
      </c>
      <c r="F68" s="18" t="s">
        <v>19</v>
      </c>
      <c r="G68" s="18" t="s">
        <v>19</v>
      </c>
      <c r="H68" s="18" t="s">
        <v>19</v>
      </c>
      <c r="I68" s="18" t="n">
        <v>96</v>
      </c>
      <c r="J68" s="31" t="n">
        <f aca="false">IF(SUM(State_Quality_Summary!L68,State_Quality_Summary!N68)&gt;0, State_Quality_Summary!L68/SUM(State_Quality_Summary!L68,State_Quality_Summary!N68), 1)</f>
        <v>1</v>
      </c>
      <c r="K68" s="33" t="n">
        <v>0</v>
      </c>
      <c r="L68" s="33" t="n">
        <f aca="false">IF(SUM(State_Quality_Summary!L68,State_Quality_Summary!N68)&gt;0, State_Quality_Summary!N68/SUM(State_Quality_Summary!L68,State_Quality_Summary!N68), 0)</f>
        <v>0</v>
      </c>
      <c r="M68" s="33" t="n">
        <v>0</v>
      </c>
      <c r="N68" s="16" t="str">
        <f aca="false">IF(L68&gt;0.05,"Poor Quality",IF(L68&gt;0.01,"Moderately Safe","Excellent"))</f>
        <v>Excellent</v>
      </c>
    </row>
    <row r="69" customFormat="false" ht="15.75" hidden="false" customHeight="true" outlineLevel="0" collapsed="false">
      <c r="A69" s="13" t="n">
        <v>2022</v>
      </c>
      <c r="B69" s="13" t="s">
        <v>223</v>
      </c>
      <c r="C69" s="13" t="s">
        <v>183</v>
      </c>
      <c r="D69" s="15" t="s">
        <v>19</v>
      </c>
      <c r="E69" s="15" t="s">
        <v>19</v>
      </c>
      <c r="F69" s="15" t="s">
        <v>19</v>
      </c>
      <c r="G69" s="15" t="s">
        <v>19</v>
      </c>
      <c r="H69" s="15" t="s">
        <v>19</v>
      </c>
      <c r="I69" s="15" t="n">
        <v>17</v>
      </c>
      <c r="J69" s="31" t="n">
        <f aca="false">IF(SUM(State_Quality_Summary!L69,State_Quality_Summary!N69)&gt;0, State_Quality_Summary!L69/SUM(State_Quality_Summary!L69,State_Quality_Summary!N69), 1)</f>
        <v>0.999</v>
      </c>
      <c r="K69" s="32" t="n">
        <v>0</v>
      </c>
      <c r="L69" s="32" t="n">
        <f aca="false">IF(SUM(State_Quality_Summary!L69,State_Quality_Summary!N69)&gt;0, State_Quality_Summary!N69/SUM(State_Quality_Summary!L69,State_Quality_Summary!N69), 0)</f>
        <v>0.001</v>
      </c>
      <c r="M69" s="32" t="n">
        <v>0</v>
      </c>
      <c r="N69" s="13" t="str">
        <f aca="false">IF(L69&gt;0.05,"Poor Quality",IF(L69&gt;0.01,"Moderately Safe","Excellent"))</f>
        <v>Excellent</v>
      </c>
    </row>
    <row r="70" customFormat="false" ht="15.75" hidden="false" customHeight="true" outlineLevel="0" collapsed="false">
      <c r="A70" s="16" t="n">
        <v>2022</v>
      </c>
      <c r="B70" s="16" t="s">
        <v>67</v>
      </c>
      <c r="C70" s="16" t="s">
        <v>39</v>
      </c>
      <c r="D70" s="18" t="n">
        <v>22</v>
      </c>
      <c r="E70" s="18" t="s">
        <v>19</v>
      </c>
      <c r="F70" s="18" t="n">
        <v>8</v>
      </c>
      <c r="G70" s="18" t="s">
        <v>19</v>
      </c>
      <c r="H70" s="18" t="n">
        <v>14</v>
      </c>
      <c r="I70" s="18" t="n">
        <v>120</v>
      </c>
      <c r="J70" s="31" t="n">
        <f aca="false">IF(SUM(State_Quality_Summary!L70,State_Quality_Summary!N70)&gt;0, State_Quality_Summary!L70/SUM(State_Quality_Summary!L70,State_Quality_Summary!N70), 1)</f>
        <v>0.992499981022219</v>
      </c>
      <c r="K70" s="33" t="n">
        <v>0</v>
      </c>
      <c r="L70" s="33" t="n">
        <f aca="false">IF(SUM(State_Quality_Summary!L70,State_Quality_Summary!N70)&gt;0, State_Quality_Summary!N70/SUM(State_Quality_Summary!L70,State_Quality_Summary!N70), 0)</f>
        <v>0.00750001897778081</v>
      </c>
      <c r="M70" s="33" t="n">
        <v>0</v>
      </c>
      <c r="N70" s="16" t="str">
        <f aca="false">IF(L70&gt;0.05,"Poor Quality",IF(L70&gt;0.01,"Moderately Safe","Excellent"))</f>
        <v>Excellent</v>
      </c>
    </row>
    <row r="71" customFormat="false" ht="15.75" hidden="false" customHeight="true" outlineLevel="0" collapsed="false">
      <c r="A71" s="13" t="n">
        <v>2022</v>
      </c>
      <c r="B71" s="13" t="s">
        <v>62</v>
      </c>
      <c r="C71" s="13" t="s">
        <v>39</v>
      </c>
      <c r="D71" s="15" t="s">
        <v>19</v>
      </c>
      <c r="E71" s="15" t="s">
        <v>19</v>
      </c>
      <c r="F71" s="15" t="s">
        <v>19</v>
      </c>
      <c r="G71" s="15" t="s">
        <v>19</v>
      </c>
      <c r="H71" s="15" t="s">
        <v>19</v>
      </c>
      <c r="I71" s="15" t="n">
        <v>24</v>
      </c>
      <c r="J71" s="31" t="n">
        <f aca="false">IF(SUM(State_Quality_Summary!L71,State_Quality_Summary!N71)&gt;0, State_Quality_Summary!L71/SUM(State_Quality_Summary!L71,State_Quality_Summary!N71), 1)</f>
        <v>0.98629989984261</v>
      </c>
      <c r="K71" s="32" t="n">
        <v>0</v>
      </c>
      <c r="L71" s="32" t="n">
        <f aca="false">IF(SUM(State_Quality_Summary!L71,State_Quality_Summary!N71)&gt;0, State_Quality_Summary!N71/SUM(State_Quality_Summary!L71,State_Quality_Summary!N71), 0)</f>
        <v>0.0137001001573902</v>
      </c>
      <c r="M71" s="32" t="n">
        <v>0</v>
      </c>
      <c r="N71" s="13" t="str">
        <f aca="false">IF(L71&gt;0.05,"Poor Quality",IF(L71&gt;0.01,"Moderately Safe","Excellent"))</f>
        <v>Moderately Safe</v>
      </c>
    </row>
    <row r="72" customFormat="false" ht="15.75" hidden="false" customHeight="true" outlineLevel="0" collapsed="false">
      <c r="A72" s="16" t="n">
        <v>2022</v>
      </c>
      <c r="B72" s="16" t="s">
        <v>73</v>
      </c>
      <c r="C72" s="16" t="s">
        <v>50</v>
      </c>
      <c r="D72" s="18" t="s">
        <v>19</v>
      </c>
      <c r="E72" s="18" t="s">
        <v>19</v>
      </c>
      <c r="F72" s="18" t="s">
        <v>19</v>
      </c>
      <c r="G72" s="18" t="s">
        <v>19</v>
      </c>
      <c r="H72" s="18" t="s">
        <v>19</v>
      </c>
      <c r="I72" s="18" t="n">
        <v>210</v>
      </c>
      <c r="J72" s="31" t="n">
        <f aca="false">IF(SUM(State_Quality_Summary!L72,State_Quality_Summary!N72)&gt;0, State_Quality_Summary!L72/SUM(State_Quality_Summary!L72,State_Quality_Summary!N72), 1)</f>
        <v>0.821501135412932</v>
      </c>
      <c r="K72" s="33" t="n">
        <v>0</v>
      </c>
      <c r="L72" s="33" t="n">
        <f aca="false">IF(SUM(State_Quality_Summary!L72,State_Quality_Summary!N72)&gt;0, State_Quality_Summary!N72/SUM(State_Quality_Summary!L72,State_Quality_Summary!N72), 0)</f>
        <v>0.178498864587068</v>
      </c>
      <c r="M72" s="33" t="n">
        <v>0</v>
      </c>
      <c r="N72" s="16" t="str">
        <f aca="false">IF(L72&gt;0.05,"Poor Quality",IF(L72&gt;0.01,"Moderately Safe","Excellent"))</f>
        <v>Poor Quality</v>
      </c>
    </row>
    <row r="73" customFormat="false" ht="15.75" hidden="false" customHeight="true" outlineLevel="0" collapsed="false">
      <c r="A73" s="13" t="n">
        <v>2023</v>
      </c>
      <c r="B73" s="13" t="s">
        <v>176</v>
      </c>
      <c r="C73" s="13" t="s">
        <v>177</v>
      </c>
      <c r="D73" s="15" t="s">
        <v>19</v>
      </c>
      <c r="E73" s="15" t="s">
        <v>19</v>
      </c>
      <c r="F73" s="15" t="s">
        <v>19</v>
      </c>
      <c r="G73" s="15" t="s">
        <v>19</v>
      </c>
      <c r="H73" s="15" t="s">
        <v>19</v>
      </c>
      <c r="I73" s="15" t="n">
        <v>10</v>
      </c>
      <c r="J73" s="31" t="n">
        <f aca="false">IF(SUM(State_Quality_Summary!L73,State_Quality_Summary!N73)&gt;0, State_Quality_Summary!L73/SUM(State_Quality_Summary!L73,State_Quality_Summary!N73), 1)</f>
        <v>0.997701149425287</v>
      </c>
      <c r="K73" s="32" t="n">
        <v>0</v>
      </c>
      <c r="L73" s="32" t="n">
        <f aca="false">IF(SUM(State_Quality_Summary!L73,State_Quality_Summary!N73)&gt;0, State_Quality_Summary!N73/SUM(State_Quality_Summary!L73,State_Quality_Summary!N73), 0)</f>
        <v>0.00229885057471264</v>
      </c>
      <c r="M73" s="32" t="n">
        <v>0</v>
      </c>
      <c r="N73" s="13" t="str">
        <f aca="false">IF(L73&gt;0.05,"Poor Quality",IF(L73&gt;0.01,"Moderately Safe","Excellent"))</f>
        <v>Excellent</v>
      </c>
    </row>
    <row r="74" customFormat="false" ht="15.75" hidden="false" customHeight="true" outlineLevel="0" collapsed="false">
      <c r="A74" s="16" t="n">
        <v>2023</v>
      </c>
      <c r="B74" s="16" t="s">
        <v>13</v>
      </c>
      <c r="C74" s="16" t="s">
        <v>180</v>
      </c>
      <c r="D74" s="18" t="n">
        <v>115</v>
      </c>
      <c r="E74" s="18" t="s">
        <v>19</v>
      </c>
      <c r="F74" s="18" t="n">
        <v>4</v>
      </c>
      <c r="G74" s="18" t="s">
        <v>19</v>
      </c>
      <c r="H74" s="18" t="n">
        <v>115</v>
      </c>
      <c r="I74" s="18" t="n">
        <v>122</v>
      </c>
      <c r="J74" s="31" t="n">
        <f aca="false">IF(SUM(State_Quality_Summary!L74,State_Quality_Summary!N74)&gt;0, State_Quality_Summary!L74/SUM(State_Quality_Summary!L74,State_Quality_Summary!N74), 1)</f>
        <v>1</v>
      </c>
      <c r="K74" s="33" t="n">
        <v>0</v>
      </c>
      <c r="L74" s="33" t="n">
        <f aca="false">IF(SUM(State_Quality_Summary!L74,State_Quality_Summary!N74)&gt;0, State_Quality_Summary!N74/SUM(State_Quality_Summary!L74,State_Quality_Summary!N74), 0)</f>
        <v>0</v>
      </c>
      <c r="M74" s="33" t="n">
        <v>0</v>
      </c>
      <c r="N74" s="16" t="str">
        <f aca="false">IF(L74&gt;0.05,"Poor Quality",IF(L74&gt;0.01,"Moderately Safe","Excellent"))</f>
        <v>Excellent</v>
      </c>
    </row>
    <row r="75" customFormat="false" ht="15.75" hidden="false" customHeight="true" outlineLevel="0" collapsed="false">
      <c r="A75" s="13" t="n">
        <v>2023</v>
      </c>
      <c r="B75" s="13" t="s">
        <v>182</v>
      </c>
      <c r="C75" s="13" t="s">
        <v>183</v>
      </c>
      <c r="D75" s="15" t="s">
        <v>19</v>
      </c>
      <c r="E75" s="15" t="s">
        <v>19</v>
      </c>
      <c r="F75" s="15" t="s">
        <v>19</v>
      </c>
      <c r="G75" s="15" t="s">
        <v>19</v>
      </c>
      <c r="H75" s="15" t="s">
        <v>19</v>
      </c>
      <c r="I75" s="15" t="n">
        <v>34</v>
      </c>
      <c r="J75" s="31" t="n">
        <f aca="false">IF(SUM(State_Quality_Summary!L75,State_Quality_Summary!N75)&gt;0, State_Quality_Summary!L75/SUM(State_Quality_Summary!L75,State_Quality_Summary!N75), 1)</f>
        <v>1</v>
      </c>
      <c r="K75" s="32" t="n">
        <v>0</v>
      </c>
      <c r="L75" s="32" t="n">
        <f aca="false">IF(SUM(State_Quality_Summary!L75,State_Quality_Summary!N75)&gt;0, State_Quality_Summary!N75/SUM(State_Quality_Summary!L75,State_Quality_Summary!N75), 0)</f>
        <v>0</v>
      </c>
      <c r="M75" s="32" t="n">
        <v>0</v>
      </c>
      <c r="N75" s="13" t="str">
        <f aca="false">IF(L75&gt;0.05,"Poor Quality",IF(L75&gt;0.01,"Moderately Safe","Excellent"))</f>
        <v>Excellent</v>
      </c>
    </row>
    <row r="76" customFormat="false" ht="15.75" hidden="false" customHeight="true" outlineLevel="0" collapsed="false">
      <c r="A76" s="16" t="n">
        <v>2023</v>
      </c>
      <c r="B76" s="16" t="s">
        <v>184</v>
      </c>
      <c r="C76" s="16" t="s">
        <v>183</v>
      </c>
      <c r="D76" s="18" t="s">
        <v>19</v>
      </c>
      <c r="E76" s="18" t="s">
        <v>19</v>
      </c>
      <c r="F76" s="18" t="s">
        <v>19</v>
      </c>
      <c r="G76" s="18" t="s">
        <v>19</v>
      </c>
      <c r="H76" s="18" t="s">
        <v>19</v>
      </c>
      <c r="I76" s="18" t="n">
        <v>79</v>
      </c>
      <c r="J76" s="31" t="n">
        <f aca="false">IF(SUM(State_Quality_Summary!L76,State_Quality_Summary!N76)&gt;0, State_Quality_Summary!L76/SUM(State_Quality_Summary!L76,State_Quality_Summary!N76), 1)</f>
        <v>0.992899952570533</v>
      </c>
      <c r="K76" s="33" t="n">
        <v>0</v>
      </c>
      <c r="L76" s="33" t="n">
        <f aca="false">IF(SUM(State_Quality_Summary!L76,State_Quality_Summary!N76)&gt;0, State_Quality_Summary!N76/SUM(State_Quality_Summary!L76,State_Quality_Summary!N76), 0)</f>
        <v>0.00710004742946663</v>
      </c>
      <c r="M76" s="33" t="n">
        <v>0</v>
      </c>
      <c r="N76" s="16" t="str">
        <f aca="false">IF(L76&gt;0.05,"Poor Quality",IF(L76&gt;0.01,"Moderately Safe","Excellent"))</f>
        <v>Excellent</v>
      </c>
    </row>
    <row r="77" customFormat="false" ht="15.75" hidden="false" customHeight="true" outlineLevel="0" collapsed="false">
      <c r="A77" s="13" t="n">
        <v>2023</v>
      </c>
      <c r="B77" s="13" t="s">
        <v>69</v>
      </c>
      <c r="C77" s="13" t="s">
        <v>50</v>
      </c>
      <c r="D77" s="15" t="s">
        <v>19</v>
      </c>
      <c r="E77" s="15" t="s">
        <v>19</v>
      </c>
      <c r="F77" s="15" t="s">
        <v>19</v>
      </c>
      <c r="G77" s="15" t="s">
        <v>19</v>
      </c>
      <c r="H77" s="15" t="s">
        <v>19</v>
      </c>
      <c r="I77" s="15" t="n">
        <v>110</v>
      </c>
      <c r="J77" s="31" t="n">
        <f aca="false">IF(SUM(State_Quality_Summary!L77,State_Quality_Summary!N77)&gt;0, State_Quality_Summary!L77/SUM(State_Quality_Summary!L77,State_Quality_Summary!N77), 1)</f>
        <v>0.9998</v>
      </c>
      <c r="K77" s="32" t="n">
        <v>0</v>
      </c>
      <c r="L77" s="32" t="n">
        <f aca="false">IF(SUM(State_Quality_Summary!L77,State_Quality_Summary!N77)&gt;0, State_Quality_Summary!N77/SUM(State_Quality_Summary!L77,State_Quality_Summary!N77), 0)</f>
        <v>0.0002</v>
      </c>
      <c r="M77" s="32" t="n">
        <v>0</v>
      </c>
      <c r="N77" s="13" t="str">
        <f aca="false">IF(L77&gt;0.05,"Poor Quality",IF(L77&gt;0.01,"Moderately Safe","Excellent"))</f>
        <v>Excellent</v>
      </c>
    </row>
    <row r="78" customFormat="false" ht="15.75" hidden="false" customHeight="true" outlineLevel="0" collapsed="false">
      <c r="A78" s="16" t="n">
        <v>2023</v>
      </c>
      <c r="B78" s="16" t="s">
        <v>187</v>
      </c>
      <c r="C78" s="16" t="s">
        <v>188</v>
      </c>
      <c r="D78" s="18" t="s">
        <v>19</v>
      </c>
      <c r="E78" s="18" t="s">
        <v>19</v>
      </c>
      <c r="F78" s="18" t="s">
        <v>19</v>
      </c>
      <c r="G78" s="18" t="s">
        <v>19</v>
      </c>
      <c r="H78" s="18" t="s">
        <v>19</v>
      </c>
      <c r="I78" s="18" t="n">
        <v>72</v>
      </c>
      <c r="J78" s="31" t="n">
        <f aca="false">IF(SUM(State_Quality_Summary!L78,State_Quality_Summary!N78)&gt;0, State_Quality_Summary!L78/SUM(State_Quality_Summary!L78,State_Quality_Summary!N78), 1)</f>
        <v>0.9992</v>
      </c>
      <c r="K78" s="33" t="n">
        <v>0</v>
      </c>
      <c r="L78" s="33" t="n">
        <f aca="false">IF(SUM(State_Quality_Summary!L78,State_Quality_Summary!N78)&gt;0, State_Quality_Summary!N78/SUM(State_Quality_Summary!L78,State_Quality_Summary!N78), 0)</f>
        <v>0.0008</v>
      </c>
      <c r="M78" s="33" t="n">
        <v>0</v>
      </c>
      <c r="N78" s="16" t="str">
        <f aca="false">IF(L78&gt;0.05,"Poor Quality",IF(L78&gt;0.01,"Moderately Safe","Excellent"))</f>
        <v>Excellent</v>
      </c>
    </row>
    <row r="79" customFormat="false" ht="15.75" hidden="false" customHeight="true" outlineLevel="0" collapsed="false">
      <c r="A79" s="13" t="n">
        <v>2023</v>
      </c>
      <c r="B79" s="13" t="s">
        <v>190</v>
      </c>
      <c r="C79" s="13" t="s">
        <v>177</v>
      </c>
      <c r="D79" s="15" t="s">
        <v>19</v>
      </c>
      <c r="E79" s="15" t="s">
        <v>19</v>
      </c>
      <c r="F79" s="15" t="s">
        <v>19</v>
      </c>
      <c r="G79" s="15" t="s">
        <v>19</v>
      </c>
      <c r="H79" s="15" t="s">
        <v>19</v>
      </c>
      <c r="I79" s="15" t="n">
        <v>2</v>
      </c>
      <c r="J79" s="31" t="n">
        <f aca="false">IF(SUM(State_Quality_Summary!L79,State_Quality_Summary!N79)&gt;0, State_Quality_Summary!L79/SUM(State_Quality_Summary!L79,State_Quality_Summary!N79), 1)</f>
        <v>1</v>
      </c>
      <c r="K79" s="32" t="n">
        <v>0</v>
      </c>
      <c r="L79" s="32" t="n">
        <f aca="false">IF(SUM(State_Quality_Summary!L79,State_Quality_Summary!N79)&gt;0, State_Quality_Summary!N79/SUM(State_Quality_Summary!L79,State_Quality_Summary!N79), 0)</f>
        <v>0</v>
      </c>
      <c r="M79" s="32" t="n">
        <v>0</v>
      </c>
      <c r="N79" s="13" t="str">
        <f aca="false">IF(L79&gt;0.05,"Poor Quality",IF(L79&gt;0.01,"Moderately Safe","Excellent"))</f>
        <v>Excellent</v>
      </c>
    </row>
    <row r="80" customFormat="false" ht="15.75" hidden="false" customHeight="true" outlineLevel="0" collapsed="false">
      <c r="A80" s="16" t="n">
        <v>2023</v>
      </c>
      <c r="B80" s="16" t="s">
        <v>191</v>
      </c>
      <c r="C80" s="16" t="s">
        <v>192</v>
      </c>
      <c r="D80" s="18" t="n">
        <v>3</v>
      </c>
      <c r="E80" s="18" t="s">
        <v>19</v>
      </c>
      <c r="F80" s="18" t="s">
        <v>19</v>
      </c>
      <c r="G80" s="18" t="s">
        <v>19</v>
      </c>
      <c r="H80" s="18" t="n">
        <v>3</v>
      </c>
      <c r="I80" s="18" t="n">
        <v>22</v>
      </c>
      <c r="J80" s="31" t="n">
        <f aca="false">IF(SUM(State_Quality_Summary!L80,State_Quality_Summary!N80)&gt;0, State_Quality_Summary!L80/SUM(State_Quality_Summary!L80,State_Quality_Summary!N80), 1)</f>
        <v>0.994697773064687</v>
      </c>
      <c r="K80" s="33" t="n">
        <v>0</v>
      </c>
      <c r="L80" s="33" t="n">
        <f aca="false">IF(SUM(State_Quality_Summary!L80,State_Quality_Summary!N80)&gt;0, State_Quality_Summary!N80/SUM(State_Quality_Summary!L80,State_Quality_Summary!N80), 0)</f>
        <v>0.00530222693531283</v>
      </c>
      <c r="M80" s="33" t="n">
        <v>0</v>
      </c>
      <c r="N80" s="16" t="str">
        <f aca="false">IF(L80&gt;0.05,"Poor Quality",IF(L80&gt;0.01,"Moderately Safe","Excellent"))</f>
        <v>Excellent</v>
      </c>
    </row>
    <row r="81" customFormat="false" ht="15.75" hidden="false" customHeight="true" outlineLevel="0" collapsed="false">
      <c r="A81" s="13" t="n">
        <v>2023</v>
      </c>
      <c r="B81" s="13" t="s">
        <v>194</v>
      </c>
      <c r="C81" s="13" t="s">
        <v>192</v>
      </c>
      <c r="D81" s="15" t="s">
        <v>19</v>
      </c>
      <c r="E81" s="15" t="s">
        <v>19</v>
      </c>
      <c r="F81" s="15" t="s">
        <v>19</v>
      </c>
      <c r="G81" s="15" t="s">
        <v>19</v>
      </c>
      <c r="H81" s="15" t="s">
        <v>19</v>
      </c>
      <c r="I81" s="15" t="n">
        <v>372</v>
      </c>
      <c r="J81" s="31" t="n">
        <f aca="false">IF(SUM(State_Quality_Summary!L81,State_Quality_Summary!N81)&gt;0, State_Quality_Summary!L81/SUM(State_Quality_Summary!L81,State_Quality_Summary!N81), 1)</f>
        <v>0.996699998577586</v>
      </c>
      <c r="K81" s="32" t="n">
        <v>0</v>
      </c>
      <c r="L81" s="32" t="n">
        <f aca="false">IF(SUM(State_Quality_Summary!L81,State_Quality_Summary!N81)&gt;0, State_Quality_Summary!N81/SUM(State_Quality_Summary!L81,State_Quality_Summary!N81), 0)</f>
        <v>0.00330000142241441</v>
      </c>
      <c r="M81" s="32" t="n">
        <v>0</v>
      </c>
      <c r="N81" s="13" t="str">
        <f aca="false">IF(L81&gt;0.05,"Poor Quality",IF(L81&gt;0.01,"Moderately Safe","Excellent"))</f>
        <v>Excellent</v>
      </c>
    </row>
    <row r="82" customFormat="false" ht="15.75" hidden="false" customHeight="true" outlineLevel="0" collapsed="false">
      <c r="A82" s="16" t="n">
        <v>2023</v>
      </c>
      <c r="B82" s="16" t="s">
        <v>38</v>
      </c>
      <c r="C82" s="16" t="s">
        <v>39</v>
      </c>
      <c r="D82" s="18" t="n">
        <v>40822</v>
      </c>
      <c r="E82" s="18" t="n">
        <v>40822</v>
      </c>
      <c r="F82" s="18" t="n">
        <v>1</v>
      </c>
      <c r="G82" s="18" t="s">
        <v>19</v>
      </c>
      <c r="H82" s="18" t="s">
        <v>19</v>
      </c>
      <c r="I82" s="18" t="n">
        <v>40</v>
      </c>
      <c r="J82" s="31" t="n">
        <f aca="false">IF(SUM(State_Quality_Summary!L82,State_Quality_Summary!N82)&gt;0, State_Quality_Summary!L82/SUM(State_Quality_Summary!L82,State_Quality_Summary!N82), 1)</f>
        <v>0.918899702261921</v>
      </c>
      <c r="K82" s="33" t="n">
        <v>0</v>
      </c>
      <c r="L82" s="33" t="n">
        <f aca="false">IF(SUM(State_Quality_Summary!L82,State_Quality_Summary!N82)&gt;0, State_Quality_Summary!N82/SUM(State_Quality_Summary!L82,State_Quality_Summary!N82), 0)</f>
        <v>0.0811002977380794</v>
      </c>
      <c r="M82" s="33" t="n">
        <v>0</v>
      </c>
      <c r="N82" s="16" t="str">
        <f aca="false">IF(L82&gt;0.05,"Poor Quality",IF(L82&gt;0.01,"Moderately Safe","Excellent"))</f>
        <v>Poor Quality</v>
      </c>
    </row>
    <row r="83" customFormat="false" ht="15.75" hidden="false" customHeight="true" outlineLevel="0" collapsed="false">
      <c r="A83" s="13" t="n">
        <v>2023</v>
      </c>
      <c r="B83" s="13" t="s">
        <v>197</v>
      </c>
      <c r="C83" s="13" t="s">
        <v>39</v>
      </c>
      <c r="D83" s="15" t="s">
        <v>19</v>
      </c>
      <c r="E83" s="15" t="s">
        <v>19</v>
      </c>
      <c r="F83" s="15" t="s">
        <v>19</v>
      </c>
      <c r="G83" s="15" t="s">
        <v>19</v>
      </c>
      <c r="H83" s="15" t="s">
        <v>19</v>
      </c>
      <c r="I83" s="15" t="n">
        <v>75</v>
      </c>
      <c r="J83" s="31" t="n">
        <f aca="false">IF(SUM(State_Quality_Summary!L83,State_Quality_Summary!N83)&gt;0, State_Quality_Summary!L83/SUM(State_Quality_Summary!L83,State_Quality_Summary!N83), 1)</f>
        <v>1</v>
      </c>
      <c r="K83" s="32" t="n">
        <v>0</v>
      </c>
      <c r="L83" s="32" t="n">
        <f aca="false">IF(SUM(State_Quality_Summary!L83,State_Quality_Summary!N83)&gt;0, State_Quality_Summary!N83/SUM(State_Quality_Summary!L83,State_Quality_Summary!N83), 0)</f>
        <v>0</v>
      </c>
      <c r="M83" s="32" t="n">
        <v>0</v>
      </c>
      <c r="N83" s="13" t="str">
        <f aca="false">IF(L83&gt;0.05,"Poor Quality",IF(L83&gt;0.01,"Moderately Safe","Excellent"))</f>
        <v>Excellent</v>
      </c>
    </row>
    <row r="84" customFormat="false" ht="15.75" hidden="false" customHeight="true" outlineLevel="0" collapsed="false">
      <c r="A84" s="16" t="n">
        <v>2023</v>
      </c>
      <c r="B84" s="16" t="s">
        <v>141</v>
      </c>
      <c r="C84" s="16" t="s">
        <v>39</v>
      </c>
      <c r="D84" s="18" t="s">
        <v>19</v>
      </c>
      <c r="E84" s="18" t="s">
        <v>19</v>
      </c>
      <c r="F84" s="18" t="s">
        <v>19</v>
      </c>
      <c r="G84" s="18" t="s">
        <v>19</v>
      </c>
      <c r="H84" s="18" t="s">
        <v>19</v>
      </c>
      <c r="I84" s="18" t="n">
        <v>89</v>
      </c>
      <c r="J84" s="31" t="n">
        <f aca="false">IF(SUM(State_Quality_Summary!L84,State_Quality_Summary!N84)&gt;0, State_Quality_Summary!L84/SUM(State_Quality_Summary!L84,State_Quality_Summary!N84), 1)</f>
        <v>0.999299996956509</v>
      </c>
      <c r="K84" s="33" t="n">
        <v>0</v>
      </c>
      <c r="L84" s="33" t="n">
        <f aca="false">IF(SUM(State_Quality_Summary!L84,State_Quality_Summary!N84)&gt;0, State_Quality_Summary!N84/SUM(State_Quality_Summary!L84,State_Quality_Summary!N84), 0)</f>
        <v>0.000700003043491493</v>
      </c>
      <c r="M84" s="33" t="n">
        <v>0</v>
      </c>
      <c r="N84" s="16" t="str">
        <f aca="false">IF(L84&gt;0.05,"Poor Quality",IF(L84&gt;0.01,"Moderately Safe","Excellent"))</f>
        <v>Excellent</v>
      </c>
    </row>
    <row r="85" customFormat="false" ht="15.75" hidden="false" customHeight="true" outlineLevel="0" collapsed="false">
      <c r="A85" s="13" t="n">
        <v>2023</v>
      </c>
      <c r="B85" s="13" t="s">
        <v>71</v>
      </c>
      <c r="C85" s="13" t="s">
        <v>50</v>
      </c>
      <c r="D85" s="15" t="s">
        <v>19</v>
      </c>
      <c r="E85" s="15" t="s">
        <v>19</v>
      </c>
      <c r="F85" s="15" t="s">
        <v>19</v>
      </c>
      <c r="G85" s="15" t="s">
        <v>19</v>
      </c>
      <c r="H85" s="15" t="s">
        <v>19</v>
      </c>
      <c r="I85" s="15" t="n">
        <v>35</v>
      </c>
      <c r="J85" s="31" t="n">
        <f aca="false">IF(SUM(State_Quality_Summary!L85,State_Quality_Summary!N85)&gt;0, State_Quality_Summary!L85/SUM(State_Quality_Summary!L85,State_Quality_Summary!N85), 1)</f>
        <v>0.9998</v>
      </c>
      <c r="K85" s="32" t="n">
        <v>0</v>
      </c>
      <c r="L85" s="32" t="n">
        <f aca="false">IF(SUM(State_Quality_Summary!L85,State_Quality_Summary!N85)&gt;0, State_Quality_Summary!N85/SUM(State_Quality_Summary!L85,State_Quality_Summary!N85), 0)</f>
        <v>0.0002</v>
      </c>
      <c r="M85" s="32" t="n">
        <v>0</v>
      </c>
      <c r="N85" s="13" t="str">
        <f aca="false">IF(L85&gt;0.05,"Poor Quality",IF(L85&gt;0.01,"Moderately Safe","Excellent"))</f>
        <v>Excellent</v>
      </c>
    </row>
    <row r="86" customFormat="false" ht="15.75" hidden="false" customHeight="true" outlineLevel="0" collapsed="false">
      <c r="A86" s="16" t="n">
        <v>2023</v>
      </c>
      <c r="B86" s="16" t="s">
        <v>111</v>
      </c>
      <c r="C86" s="16" t="s">
        <v>180</v>
      </c>
      <c r="D86" s="18" t="n">
        <v>11</v>
      </c>
      <c r="E86" s="18" t="s">
        <v>19</v>
      </c>
      <c r="F86" s="18" t="n">
        <v>1</v>
      </c>
      <c r="G86" s="18" t="s">
        <v>19</v>
      </c>
      <c r="H86" s="18" t="n">
        <v>11</v>
      </c>
      <c r="I86" s="18" t="n">
        <v>94</v>
      </c>
      <c r="J86" s="31" t="n">
        <f aca="false">IF(SUM(State_Quality_Summary!L86,State_Quality_Summary!N86)&gt;0, State_Quality_Summary!L86/SUM(State_Quality_Summary!L86,State_Quality_Summary!N86), 1)</f>
        <v>0.964400032643882</v>
      </c>
      <c r="K86" s="33" t="n">
        <v>0</v>
      </c>
      <c r="L86" s="33" t="n">
        <f aca="false">IF(SUM(State_Quality_Summary!L86,State_Quality_Summary!N86)&gt;0, State_Quality_Summary!N86/SUM(State_Quality_Summary!L86,State_Quality_Summary!N86), 0)</f>
        <v>0.0355999673561176</v>
      </c>
      <c r="M86" s="33" t="n">
        <v>0</v>
      </c>
      <c r="N86" s="16" t="str">
        <f aca="false">IF(L86&gt;0.05,"Poor Quality",IF(L86&gt;0.01,"Moderately Safe","Excellent"))</f>
        <v>Moderately Safe</v>
      </c>
    </row>
    <row r="87" customFormat="false" ht="15.75" hidden="false" customHeight="true" outlineLevel="0" collapsed="false">
      <c r="A87" s="13" t="n">
        <v>2023</v>
      </c>
      <c r="B87" s="13" t="s">
        <v>200</v>
      </c>
      <c r="C87" s="13" t="s">
        <v>180</v>
      </c>
      <c r="D87" s="15" t="s">
        <v>19</v>
      </c>
      <c r="E87" s="15" t="s">
        <v>19</v>
      </c>
      <c r="F87" s="15" t="s">
        <v>19</v>
      </c>
      <c r="G87" s="15" t="s">
        <v>19</v>
      </c>
      <c r="H87" s="15" t="s">
        <v>19</v>
      </c>
      <c r="I87" s="15" t="n">
        <v>89</v>
      </c>
      <c r="J87" s="31" t="n">
        <f aca="false">IF(SUM(State_Quality_Summary!L87,State_Quality_Summary!N87)&gt;0, State_Quality_Summary!L87/SUM(State_Quality_Summary!L87,State_Quality_Summary!N87), 1)</f>
        <v>0.894499456973104</v>
      </c>
      <c r="K87" s="32" t="n">
        <v>0</v>
      </c>
      <c r="L87" s="32" t="n">
        <f aca="false">IF(SUM(State_Quality_Summary!L87,State_Quality_Summary!N87)&gt;0, State_Quality_Summary!N87/SUM(State_Quality_Summary!L87,State_Quality_Summary!N87), 0)</f>
        <v>0.105500543026896</v>
      </c>
      <c r="M87" s="32" t="n">
        <v>0</v>
      </c>
      <c r="N87" s="13" t="str">
        <f aca="false">IF(L87&gt;0.05,"Poor Quality",IF(L87&gt;0.01,"Moderately Safe","Excellent"))</f>
        <v>Poor Quality</v>
      </c>
    </row>
    <row r="88" customFormat="false" ht="15.75" hidden="false" customHeight="true" outlineLevel="0" collapsed="false">
      <c r="A88" s="16" t="n">
        <v>2023</v>
      </c>
      <c r="B88" s="16" t="s">
        <v>202</v>
      </c>
      <c r="C88" s="16" t="s">
        <v>177</v>
      </c>
      <c r="D88" s="18" t="s">
        <v>19</v>
      </c>
      <c r="E88" s="18" t="s">
        <v>19</v>
      </c>
      <c r="F88" s="18" t="s">
        <v>19</v>
      </c>
      <c r="G88" s="18" t="s">
        <v>19</v>
      </c>
      <c r="H88" s="18" t="s">
        <v>19</v>
      </c>
      <c r="I88" s="18" t="n">
        <v>8</v>
      </c>
      <c r="J88" s="31" t="n">
        <f aca="false">IF(SUM(State_Quality_Summary!L88,State_Quality_Summary!N88)&gt;0, State_Quality_Summary!L88/SUM(State_Quality_Summary!L88,State_Quality_Summary!N88), 1)</f>
        <v>0.980694980694981</v>
      </c>
      <c r="K88" s="33" t="n">
        <v>0</v>
      </c>
      <c r="L88" s="33" t="n">
        <f aca="false">IF(SUM(State_Quality_Summary!L88,State_Quality_Summary!N88)&gt;0, State_Quality_Summary!N88/SUM(State_Quality_Summary!L88,State_Quality_Summary!N88), 0)</f>
        <v>0.0193050193050193</v>
      </c>
      <c r="M88" s="33" t="n">
        <v>0</v>
      </c>
      <c r="N88" s="16" t="str">
        <f aca="false">IF(L88&gt;0.05,"Poor Quality",IF(L88&gt;0.01,"Moderately Safe","Excellent"))</f>
        <v>Moderately Safe</v>
      </c>
    </row>
    <row r="89" customFormat="false" ht="15.75" hidden="false" customHeight="true" outlineLevel="0" collapsed="false">
      <c r="A89" s="13" t="n">
        <v>2023</v>
      </c>
      <c r="B89" s="13" t="s">
        <v>204</v>
      </c>
      <c r="C89" s="13" t="s">
        <v>177</v>
      </c>
      <c r="D89" s="15" t="s">
        <v>19</v>
      </c>
      <c r="E89" s="15" t="s">
        <v>19</v>
      </c>
      <c r="F89" s="15" t="s">
        <v>19</v>
      </c>
      <c r="G89" s="15" t="s">
        <v>19</v>
      </c>
      <c r="H89" s="15" t="s">
        <v>19</v>
      </c>
      <c r="I89" s="15" t="n">
        <v>8</v>
      </c>
      <c r="J89" s="31" t="n">
        <f aca="false">IF(SUM(State_Quality_Summary!L89,State_Quality_Summary!N89)&gt;0, State_Quality_Summary!L89/SUM(State_Quality_Summary!L89,State_Quality_Summary!N89), 1)</f>
        <v>0.9992</v>
      </c>
      <c r="K89" s="32" t="n">
        <v>0</v>
      </c>
      <c r="L89" s="32" t="n">
        <f aca="false">IF(SUM(State_Quality_Summary!L89,State_Quality_Summary!N89)&gt;0, State_Quality_Summary!N89/SUM(State_Quality_Summary!L89,State_Quality_Summary!N89), 0)</f>
        <v>0.0008</v>
      </c>
      <c r="M89" s="32" t="n">
        <v>0</v>
      </c>
      <c r="N89" s="13" t="str">
        <f aca="false">IF(L89&gt;0.05,"Poor Quality",IF(L89&gt;0.01,"Moderately Safe","Excellent"))</f>
        <v>Excellent</v>
      </c>
    </row>
    <row r="90" customFormat="false" ht="15.75" hidden="false" customHeight="true" outlineLevel="0" collapsed="false">
      <c r="A90" s="16" t="n">
        <v>2023</v>
      </c>
      <c r="B90" s="16" t="s">
        <v>206</v>
      </c>
      <c r="C90" s="16" t="s">
        <v>188</v>
      </c>
      <c r="D90" s="18" t="s">
        <v>19</v>
      </c>
      <c r="E90" s="18" t="s">
        <v>19</v>
      </c>
      <c r="F90" s="18" t="s">
        <v>19</v>
      </c>
      <c r="G90" s="18" t="s">
        <v>19</v>
      </c>
      <c r="H90" s="18" t="s">
        <v>19</v>
      </c>
      <c r="I90" s="18" t="n">
        <v>166</v>
      </c>
      <c r="J90" s="31" t="n">
        <f aca="false">IF(SUM(State_Quality_Summary!L90,State_Quality_Summary!N90)&gt;0, State_Quality_Summary!L90/SUM(State_Quality_Summary!L90,State_Quality_Summary!N90), 1)</f>
        <v>0.999699999454545</v>
      </c>
      <c r="K90" s="33" t="n">
        <v>0</v>
      </c>
      <c r="L90" s="33" t="n">
        <f aca="false">IF(SUM(State_Quality_Summary!L90,State_Quality_Summary!N90)&gt;0, State_Quality_Summary!N90/SUM(State_Quality_Summary!L90,State_Quality_Summary!N90), 0)</f>
        <v>0.000300000545455537</v>
      </c>
      <c r="M90" s="33" t="n">
        <v>0</v>
      </c>
      <c r="N90" s="16" t="str">
        <f aca="false">IF(L90&gt;0.05,"Poor Quality",IF(L90&gt;0.01,"Moderately Safe","Excellent"))</f>
        <v>Excellent</v>
      </c>
    </row>
    <row r="91" customFormat="false" ht="15.75" hidden="false" customHeight="true" outlineLevel="0" collapsed="false">
      <c r="A91" s="13" t="n">
        <v>2023</v>
      </c>
      <c r="B91" s="13" t="s">
        <v>208</v>
      </c>
      <c r="C91" s="13" t="s">
        <v>192</v>
      </c>
      <c r="D91" s="15" t="n">
        <v>30</v>
      </c>
      <c r="E91" s="15" t="s">
        <v>19</v>
      </c>
      <c r="F91" s="15" t="n">
        <v>1</v>
      </c>
      <c r="G91" s="15" t="s">
        <v>19</v>
      </c>
      <c r="H91" s="15" t="n">
        <v>30</v>
      </c>
      <c r="I91" s="15" t="n">
        <v>204</v>
      </c>
      <c r="J91" s="31" t="n">
        <f aca="false">IF(SUM(State_Quality_Summary!L91,State_Quality_Summary!N91)&gt;0, State_Quality_Summary!L91/SUM(State_Quality_Summary!L91,State_Quality_Summary!N91), 1)</f>
        <v>0.958300048664481</v>
      </c>
      <c r="K91" s="32" t="n">
        <v>0</v>
      </c>
      <c r="L91" s="32" t="n">
        <f aca="false">IF(SUM(State_Quality_Summary!L91,State_Quality_Summary!N91)&gt;0, State_Quality_Summary!N91/SUM(State_Quality_Summary!L91,State_Quality_Summary!N91), 0)</f>
        <v>0.0416999513355187</v>
      </c>
      <c r="M91" s="32" t="n">
        <v>0</v>
      </c>
      <c r="N91" s="13" t="str">
        <f aca="false">IF(L91&gt;0.05,"Poor Quality",IF(L91&gt;0.01,"Moderately Safe","Excellent"))</f>
        <v>Moderately Safe</v>
      </c>
    </row>
    <row r="92" customFormat="false" ht="15.75" hidden="false" customHeight="true" outlineLevel="0" collapsed="false">
      <c r="A92" s="16" t="n">
        <v>2023</v>
      </c>
      <c r="B92" s="16" t="s">
        <v>210</v>
      </c>
      <c r="C92" s="16" t="s">
        <v>183</v>
      </c>
      <c r="D92" s="18" t="s">
        <v>19</v>
      </c>
      <c r="E92" s="18" t="s">
        <v>19</v>
      </c>
      <c r="F92" s="18" t="s">
        <v>19</v>
      </c>
      <c r="G92" s="18" t="s">
        <v>19</v>
      </c>
      <c r="H92" s="18" t="s">
        <v>19</v>
      </c>
      <c r="I92" s="18" t="n">
        <v>12</v>
      </c>
      <c r="J92" s="31" t="n">
        <f aca="false">IF(SUM(State_Quality_Summary!L92,State_Quality_Summary!N92)&gt;0, State_Quality_Summary!L92/SUM(State_Quality_Summary!L92,State_Quality_Summary!N92), 1)</f>
        <v>1</v>
      </c>
      <c r="K92" s="33" t="n">
        <v>0</v>
      </c>
      <c r="L92" s="33" t="n">
        <f aca="false">IF(SUM(State_Quality_Summary!L92,State_Quality_Summary!N92)&gt;0, State_Quality_Summary!N92/SUM(State_Quality_Summary!L92,State_Quality_Summary!N92), 0)</f>
        <v>0</v>
      </c>
      <c r="M92" s="33" t="n">
        <v>0</v>
      </c>
      <c r="N92" s="16" t="str">
        <f aca="false">IF(L92&gt;0.05,"Poor Quality",IF(L92&gt;0.01,"Moderately Safe","Excellent"))</f>
        <v>Excellent</v>
      </c>
    </row>
    <row r="93" customFormat="false" ht="15.75" hidden="false" customHeight="true" outlineLevel="0" collapsed="false">
      <c r="A93" s="13" t="n">
        <v>2023</v>
      </c>
      <c r="B93" s="13" t="s">
        <v>211</v>
      </c>
      <c r="C93" s="13" t="s">
        <v>183</v>
      </c>
      <c r="D93" s="15" t="s">
        <v>19</v>
      </c>
      <c r="E93" s="15" t="s">
        <v>19</v>
      </c>
      <c r="F93" s="15" t="s">
        <v>19</v>
      </c>
      <c r="G93" s="15" t="s">
        <v>19</v>
      </c>
      <c r="H93" s="15" t="s">
        <v>19</v>
      </c>
      <c r="I93" s="15" t="n">
        <v>28</v>
      </c>
      <c r="J93" s="31" t="n">
        <f aca="false">IF(SUM(State_Quality_Summary!L93,State_Quality_Summary!N93)&gt;0, State_Quality_Summary!L93/SUM(State_Quality_Summary!L93,State_Quality_Summary!N93), 1)</f>
        <v>0.995200083476809</v>
      </c>
      <c r="K93" s="32" t="n">
        <v>0</v>
      </c>
      <c r="L93" s="32" t="n">
        <f aca="false">IF(SUM(State_Quality_Summary!L93,State_Quality_Summary!N93)&gt;0, State_Quality_Summary!N93/SUM(State_Quality_Summary!L93,State_Quality_Summary!N93), 0)</f>
        <v>0.0047999165231909</v>
      </c>
      <c r="M93" s="32" t="n">
        <v>0</v>
      </c>
      <c r="N93" s="13" t="str">
        <f aca="false">IF(L93&gt;0.05,"Poor Quality",IF(L93&gt;0.01,"Moderately Safe","Excellent"))</f>
        <v>Excellent</v>
      </c>
    </row>
    <row r="94" customFormat="false" ht="15.75" hidden="false" customHeight="true" outlineLevel="0" collapsed="false">
      <c r="A94" s="16" t="n">
        <v>2023</v>
      </c>
      <c r="B94" s="16" t="s">
        <v>213</v>
      </c>
      <c r="C94" s="16" t="s">
        <v>183</v>
      </c>
      <c r="D94" s="18" t="s">
        <v>19</v>
      </c>
      <c r="E94" s="18" t="s">
        <v>19</v>
      </c>
      <c r="F94" s="18" t="s">
        <v>19</v>
      </c>
      <c r="G94" s="18" t="s">
        <v>19</v>
      </c>
      <c r="H94" s="18" t="s">
        <v>19</v>
      </c>
      <c r="I94" s="18" t="n">
        <v>25</v>
      </c>
      <c r="J94" s="31" t="n">
        <f aca="false">IF(SUM(State_Quality_Summary!L94,State_Quality_Summary!N94)&gt;0, State_Quality_Summary!L94/SUM(State_Quality_Summary!L94,State_Quality_Summary!N94), 1)</f>
        <v>0.939884997386304</v>
      </c>
      <c r="K94" s="33" t="n">
        <v>0</v>
      </c>
      <c r="L94" s="33" t="n">
        <f aca="false">IF(SUM(State_Quality_Summary!L94,State_Quality_Summary!N94)&gt;0, State_Quality_Summary!N94/SUM(State_Quality_Summary!L94,State_Quality_Summary!N94), 0)</f>
        <v>0.0601150026136958</v>
      </c>
      <c r="M94" s="33" t="n">
        <v>0</v>
      </c>
      <c r="N94" s="16" t="str">
        <f aca="false">IF(L94&gt;0.05,"Poor Quality",IF(L94&gt;0.01,"Moderately Safe","Excellent"))</f>
        <v>Poor Quality</v>
      </c>
    </row>
    <row r="95" customFormat="false" ht="15.75" hidden="false" customHeight="true" outlineLevel="0" collapsed="false">
      <c r="A95" s="13" t="n">
        <v>2023</v>
      </c>
      <c r="B95" s="13" t="s">
        <v>215</v>
      </c>
      <c r="C95" s="13" t="s">
        <v>183</v>
      </c>
      <c r="D95" s="15" t="s">
        <v>19</v>
      </c>
      <c r="E95" s="15" t="s">
        <v>19</v>
      </c>
      <c r="F95" s="15" t="s">
        <v>19</v>
      </c>
      <c r="G95" s="15" t="s">
        <v>19</v>
      </c>
      <c r="H95" s="15" t="s">
        <v>19</v>
      </c>
      <c r="I95" s="15" t="n">
        <v>11</v>
      </c>
      <c r="J95" s="31" t="n">
        <f aca="false">IF(SUM(State_Quality_Summary!L95,State_Quality_Summary!N95)&gt;0, State_Quality_Summary!L95/SUM(State_Quality_Summary!L95,State_Quality_Summary!N95), 1)</f>
        <v>1</v>
      </c>
      <c r="K95" s="32" t="n">
        <v>0</v>
      </c>
      <c r="L95" s="32" t="n">
        <f aca="false">IF(SUM(State_Quality_Summary!L95,State_Quality_Summary!N95)&gt;0, State_Quality_Summary!N95/SUM(State_Quality_Summary!L95,State_Quality_Summary!N95), 0)</f>
        <v>0</v>
      </c>
      <c r="M95" s="32" t="n">
        <v>0</v>
      </c>
      <c r="N95" s="13" t="str">
        <f aca="false">IF(L95&gt;0.05,"Poor Quality",IF(L95&gt;0.01,"Moderately Safe","Excellent"))</f>
        <v>Excellent</v>
      </c>
    </row>
    <row r="96" customFormat="false" ht="15.75" hidden="false" customHeight="true" outlineLevel="0" collapsed="false">
      <c r="A96" s="16" t="n">
        <v>2023</v>
      </c>
      <c r="B96" s="16" t="s">
        <v>49</v>
      </c>
      <c r="C96" s="16" t="s">
        <v>50</v>
      </c>
      <c r="D96" s="18" t="n">
        <v>1357</v>
      </c>
      <c r="E96" s="18" t="s">
        <v>19</v>
      </c>
      <c r="F96" s="18" t="n">
        <v>268</v>
      </c>
      <c r="G96" s="18" t="s">
        <v>19</v>
      </c>
      <c r="H96" s="18" t="n">
        <v>3</v>
      </c>
      <c r="I96" s="18" t="n">
        <v>141</v>
      </c>
      <c r="J96" s="31" t="n">
        <f aca="false">IF(SUM(State_Quality_Summary!L96,State_Quality_Summary!N96)&gt;0, State_Quality_Summary!L96/SUM(State_Quality_Summary!L96,State_Quality_Summary!N96), 1)</f>
        <v>0.990100017814878</v>
      </c>
      <c r="K96" s="33" t="n">
        <v>0</v>
      </c>
      <c r="L96" s="33" t="n">
        <f aca="false">IF(SUM(State_Quality_Summary!L96,State_Quality_Summary!N96)&gt;0, State_Quality_Summary!N96/SUM(State_Quality_Summary!L96,State_Quality_Summary!N96), 0)</f>
        <v>0.00989998218512203</v>
      </c>
      <c r="M96" s="33" t="n">
        <v>0</v>
      </c>
      <c r="N96" s="16" t="str">
        <f aca="false">IF(L96&gt;0.05,"Poor Quality",IF(L96&gt;0.01,"Moderately Safe","Excellent"))</f>
        <v>Excellent</v>
      </c>
    </row>
    <row r="97" customFormat="false" ht="15.75" hidden="false" customHeight="true" outlineLevel="0" collapsed="false">
      <c r="A97" s="13" t="n">
        <v>2023</v>
      </c>
      <c r="B97" s="13" t="s">
        <v>217</v>
      </c>
      <c r="C97" s="13" t="s">
        <v>177</v>
      </c>
      <c r="D97" s="15" t="s">
        <v>19</v>
      </c>
      <c r="E97" s="15" t="s">
        <v>19</v>
      </c>
      <c r="F97" s="15" t="s">
        <v>19</v>
      </c>
      <c r="G97" s="15" t="s">
        <v>19</v>
      </c>
      <c r="H97" s="15" t="s">
        <v>19</v>
      </c>
      <c r="I97" s="15" t="n">
        <v>2</v>
      </c>
      <c r="J97" s="31" t="n">
        <f aca="false">IF(SUM(State_Quality_Summary!L97,State_Quality_Summary!N97)&gt;0, State_Quality_Summary!L97/SUM(State_Quality_Summary!L97,State_Quality_Summary!N97), 1)</f>
        <v>1</v>
      </c>
      <c r="K97" s="32" t="n">
        <v>0</v>
      </c>
      <c r="L97" s="32" t="n">
        <f aca="false">IF(SUM(State_Quality_Summary!L97,State_Quality_Summary!N97)&gt;0, State_Quality_Summary!N97/SUM(State_Quality_Summary!L97,State_Quality_Summary!N97), 0)</f>
        <v>0</v>
      </c>
      <c r="M97" s="32" t="n">
        <v>0</v>
      </c>
      <c r="N97" s="13" t="str">
        <f aca="false">IF(L97&gt;0.05,"Poor Quality",IF(L97&gt;0.01,"Moderately Safe","Excellent"))</f>
        <v>Excellent</v>
      </c>
    </row>
    <row r="98" customFormat="false" ht="15.75" hidden="false" customHeight="true" outlineLevel="0" collapsed="false">
      <c r="A98" s="16" t="n">
        <v>2023</v>
      </c>
      <c r="B98" s="16" t="s">
        <v>218</v>
      </c>
      <c r="C98" s="16" t="s">
        <v>39</v>
      </c>
      <c r="D98" s="18" t="s">
        <v>19</v>
      </c>
      <c r="E98" s="18" t="s">
        <v>19</v>
      </c>
      <c r="F98" s="18" t="s">
        <v>19</v>
      </c>
      <c r="G98" s="18" t="s">
        <v>19</v>
      </c>
      <c r="H98" s="18" t="s">
        <v>19</v>
      </c>
      <c r="I98" s="18" t="n">
        <v>30</v>
      </c>
      <c r="J98" s="31" t="n">
        <f aca="false">IF(SUM(State_Quality_Summary!L98,State_Quality_Summary!N98)&gt;0, State_Quality_Summary!L98/SUM(State_Quality_Summary!L98,State_Quality_Summary!N98), 1)</f>
        <v>0.989300061804697</v>
      </c>
      <c r="K98" s="33" t="n">
        <v>0</v>
      </c>
      <c r="L98" s="33" t="n">
        <f aca="false">IF(SUM(State_Quality_Summary!L98,State_Quality_Summary!N98)&gt;0, State_Quality_Summary!N98/SUM(State_Quality_Summary!L98,State_Quality_Summary!N98), 0)</f>
        <v>0.0106999381953028</v>
      </c>
      <c r="M98" s="33" t="n">
        <v>0</v>
      </c>
      <c r="N98" s="16" t="str">
        <f aca="false">IF(L98&gt;0.05,"Poor Quality",IF(L98&gt;0.01,"Moderately Safe","Excellent"))</f>
        <v>Moderately Safe</v>
      </c>
    </row>
    <row r="99" customFormat="false" ht="15.75" hidden="false" customHeight="true" outlineLevel="0" collapsed="false">
      <c r="A99" s="13" t="n">
        <v>2023</v>
      </c>
      <c r="B99" s="13" t="s">
        <v>114</v>
      </c>
      <c r="C99" s="13" t="s">
        <v>192</v>
      </c>
      <c r="D99" s="15" t="s">
        <v>19</v>
      </c>
      <c r="E99" s="15" t="s">
        <v>19</v>
      </c>
      <c r="F99" s="15" t="s">
        <v>19</v>
      </c>
      <c r="G99" s="15" t="s">
        <v>19</v>
      </c>
      <c r="H99" s="15" t="s">
        <v>19</v>
      </c>
      <c r="I99" s="15" t="n">
        <v>71</v>
      </c>
      <c r="J99" s="31" t="n">
        <f aca="false">IF(SUM(State_Quality_Summary!L99,State_Quality_Summary!N99)&gt;0, State_Quality_Summary!L99/SUM(State_Quality_Summary!L99,State_Quality_Summary!N99), 1)</f>
        <v>0.885298208295836</v>
      </c>
      <c r="K99" s="32" t="n">
        <v>0</v>
      </c>
      <c r="L99" s="32" t="n">
        <f aca="false">IF(SUM(State_Quality_Summary!L99,State_Quality_Summary!N99)&gt;0, State_Quality_Summary!N99/SUM(State_Quality_Summary!L99,State_Quality_Summary!N99), 0)</f>
        <v>0.114701791704164</v>
      </c>
      <c r="M99" s="32" t="n">
        <v>0</v>
      </c>
      <c r="N99" s="13" t="str">
        <f aca="false">IF(L99&gt;0.05,"Poor Quality",IF(L99&gt;0.01,"Moderately Safe","Excellent"))</f>
        <v>Poor Quality</v>
      </c>
    </row>
    <row r="100" customFormat="false" ht="15.75" hidden="false" customHeight="true" outlineLevel="0" collapsed="false">
      <c r="A100" s="16" t="n">
        <v>2023</v>
      </c>
      <c r="B100" s="16" t="s">
        <v>221</v>
      </c>
      <c r="C100" s="16" t="s">
        <v>183</v>
      </c>
      <c r="D100" s="18" t="s">
        <v>19</v>
      </c>
      <c r="E100" s="18" t="s">
        <v>19</v>
      </c>
      <c r="F100" s="18" t="s">
        <v>19</v>
      </c>
      <c r="G100" s="18" t="s">
        <v>19</v>
      </c>
      <c r="H100" s="18" t="s">
        <v>19</v>
      </c>
      <c r="I100" s="18" t="n">
        <v>2</v>
      </c>
      <c r="J100" s="31" t="n">
        <f aca="false">IF(SUM(State_Quality_Summary!L100,State_Quality_Summary!N100)&gt;0, State_Quality_Summary!L100/SUM(State_Quality_Summary!L100,State_Quality_Summary!N100), 1)</f>
        <v>0.5</v>
      </c>
      <c r="K100" s="33" t="n">
        <v>0</v>
      </c>
      <c r="L100" s="33" t="n">
        <f aca="false">IF(SUM(State_Quality_Summary!L100,State_Quality_Summary!N100)&gt;0, State_Quality_Summary!N100/SUM(State_Quality_Summary!L100,State_Quality_Summary!N100), 0)</f>
        <v>0.5</v>
      </c>
      <c r="M100" s="33" t="n">
        <v>0</v>
      </c>
      <c r="N100" s="16" t="str">
        <f aca="false">IF(L100&gt;0.05,"Poor Quality",IF(L100&gt;0.01,"Moderately Safe","Excellent"))</f>
        <v>Poor Quality</v>
      </c>
    </row>
    <row r="101" customFormat="false" ht="15" hidden="false" customHeight="true" outlineLevel="0" collapsed="false">
      <c r="A101" s="13" t="n">
        <v>2023</v>
      </c>
      <c r="B101" s="13" t="s">
        <v>148</v>
      </c>
      <c r="C101" s="13" t="s">
        <v>180</v>
      </c>
      <c r="D101" s="15" t="s">
        <v>19</v>
      </c>
      <c r="E101" s="15" t="s">
        <v>19</v>
      </c>
      <c r="F101" s="15" t="s">
        <v>19</v>
      </c>
      <c r="G101" s="15" t="s">
        <v>19</v>
      </c>
      <c r="H101" s="15" t="s">
        <v>19</v>
      </c>
      <c r="I101" s="15" t="n">
        <v>104</v>
      </c>
      <c r="J101" s="31" t="n">
        <f aca="false">IF(SUM(State_Quality_Summary!L101,State_Quality_Summary!N101)&gt;0, State_Quality_Summary!L101/SUM(State_Quality_Summary!L101,State_Quality_Summary!N101), 1)</f>
        <v>0.9998</v>
      </c>
      <c r="K101" s="32" t="n">
        <v>0</v>
      </c>
      <c r="L101" s="32" t="n">
        <f aca="false">IF(SUM(State_Quality_Summary!L101,State_Quality_Summary!N101)&gt;0, State_Quality_Summary!N101/SUM(State_Quality_Summary!L101,State_Quality_Summary!N101), 0)</f>
        <v>0.0002</v>
      </c>
      <c r="M101" s="32" t="n">
        <v>0</v>
      </c>
      <c r="N101" s="13" t="str">
        <f aca="false">IF(L101&gt;0.05,"Poor Quality",IF(L101&gt;0.01,"Moderately Safe","Excellent"))</f>
        <v>Excellent</v>
      </c>
    </row>
    <row r="102" customFormat="false" ht="15" hidden="false" customHeight="true" outlineLevel="0" collapsed="false">
      <c r="A102" s="16" t="n">
        <v>2023</v>
      </c>
      <c r="B102" s="16" t="s">
        <v>108</v>
      </c>
      <c r="C102" s="16" t="s">
        <v>180</v>
      </c>
      <c r="D102" s="18" t="s">
        <v>19</v>
      </c>
      <c r="E102" s="18" t="s">
        <v>19</v>
      </c>
      <c r="F102" s="18" t="s">
        <v>19</v>
      </c>
      <c r="G102" s="18" t="s">
        <v>19</v>
      </c>
      <c r="H102" s="18" t="s">
        <v>19</v>
      </c>
      <c r="I102" s="18" t="n">
        <v>107</v>
      </c>
      <c r="J102" s="31" t="n">
        <f aca="false">IF(SUM(State_Quality_Summary!L102,State_Quality_Summary!N102)&gt;0, State_Quality_Summary!L102/SUM(State_Quality_Summary!L102,State_Quality_Summary!N102), 1)</f>
        <v>1</v>
      </c>
      <c r="K102" s="33" t="n">
        <v>0</v>
      </c>
      <c r="L102" s="33" t="n">
        <f aca="false">IF(SUM(State_Quality_Summary!L102,State_Quality_Summary!N102)&gt;0, State_Quality_Summary!N102/SUM(State_Quality_Summary!L102,State_Quality_Summary!N102), 0)</f>
        <v>0</v>
      </c>
      <c r="M102" s="33" t="n">
        <v>0</v>
      </c>
      <c r="N102" s="16" t="str">
        <f aca="false">IF(L102&gt;0.05,"Poor Quality",IF(L102&gt;0.01,"Moderately Safe","Excellent"))</f>
        <v>Excellent</v>
      </c>
    </row>
    <row r="103" customFormat="false" ht="15" hidden="false" customHeight="true" outlineLevel="0" collapsed="false">
      <c r="A103" s="13" t="n">
        <v>2023</v>
      </c>
      <c r="B103" s="13" t="s">
        <v>223</v>
      </c>
      <c r="C103" s="13" t="s">
        <v>183</v>
      </c>
      <c r="D103" s="15" t="s">
        <v>19</v>
      </c>
      <c r="E103" s="15" t="s">
        <v>19</v>
      </c>
      <c r="F103" s="15" t="s">
        <v>19</v>
      </c>
      <c r="G103" s="15" t="s">
        <v>19</v>
      </c>
      <c r="H103" s="15" t="s">
        <v>19</v>
      </c>
      <c r="I103" s="15" t="n">
        <v>19</v>
      </c>
      <c r="J103" s="31" t="n">
        <f aca="false">IF(SUM(State_Quality_Summary!L103,State_Quality_Summary!N103)&gt;0, State_Quality_Summary!L103/SUM(State_Quality_Summary!L103,State_Quality_Summary!N103), 1)</f>
        <v>0.9988</v>
      </c>
      <c r="K103" s="32" t="n">
        <v>0</v>
      </c>
      <c r="L103" s="32" t="n">
        <f aca="false">IF(SUM(State_Quality_Summary!L103,State_Quality_Summary!N103)&gt;0, State_Quality_Summary!N103/SUM(State_Quality_Summary!L103,State_Quality_Summary!N103), 0)</f>
        <v>0.0012</v>
      </c>
      <c r="M103" s="32" t="n">
        <v>0</v>
      </c>
      <c r="N103" s="13" t="str">
        <f aca="false">IF(L103&gt;0.05,"Poor Quality",IF(L103&gt;0.01,"Moderately Safe","Excellent"))</f>
        <v>Excellent</v>
      </c>
    </row>
    <row r="104" customFormat="false" ht="15" hidden="false" customHeight="true" outlineLevel="0" collapsed="false">
      <c r="A104" s="16" t="n">
        <v>2023</v>
      </c>
      <c r="B104" s="16" t="s">
        <v>67</v>
      </c>
      <c r="C104" s="16" t="s">
        <v>39</v>
      </c>
      <c r="D104" s="18" t="n">
        <v>22</v>
      </c>
      <c r="E104" s="18" t="s">
        <v>19</v>
      </c>
      <c r="F104" s="18" t="n">
        <v>8</v>
      </c>
      <c r="G104" s="18" t="s">
        <v>19</v>
      </c>
      <c r="H104" s="18" t="n">
        <v>14</v>
      </c>
      <c r="I104" s="18" t="n">
        <v>128</v>
      </c>
      <c r="J104" s="31" t="n">
        <f aca="false">IF(SUM(State_Quality_Summary!L104,State_Quality_Summary!N104)&gt;0, State_Quality_Summary!L104/SUM(State_Quality_Summary!L104,State_Quality_Summary!N104), 1)</f>
        <v>0.993400002939865</v>
      </c>
      <c r="K104" s="33" t="n">
        <v>0</v>
      </c>
      <c r="L104" s="33" t="n">
        <f aca="false">IF(SUM(State_Quality_Summary!L104,State_Quality_Summary!N104)&gt;0, State_Quality_Summary!N104/SUM(State_Quality_Summary!L104,State_Quality_Summary!N104), 0)</f>
        <v>0.00659999706013494</v>
      </c>
      <c r="M104" s="33" t="n">
        <v>0</v>
      </c>
      <c r="N104" s="16" t="str">
        <f aca="false">IF(L104&gt;0.05,"Poor Quality",IF(L104&gt;0.01,"Moderately Safe","Excellent"))</f>
        <v>Excellent</v>
      </c>
    </row>
    <row r="105" customFormat="false" ht="15" hidden="false" customHeight="true" outlineLevel="0" collapsed="false">
      <c r="A105" s="13" t="n">
        <v>2023</v>
      </c>
      <c r="B105" s="13" t="s">
        <v>62</v>
      </c>
      <c r="C105" s="13" t="s">
        <v>39</v>
      </c>
      <c r="D105" s="15" t="s">
        <v>19</v>
      </c>
      <c r="E105" s="15" t="s">
        <v>19</v>
      </c>
      <c r="F105" s="15" t="s">
        <v>19</v>
      </c>
      <c r="G105" s="15" t="s">
        <v>19</v>
      </c>
      <c r="H105" s="15" t="s">
        <v>19</v>
      </c>
      <c r="I105" s="15" t="n">
        <v>25</v>
      </c>
      <c r="J105" s="31" t="n">
        <f aca="false">IF(SUM(State_Quality_Summary!L105,State_Quality_Summary!N105)&gt;0, State_Quality_Summary!L105/SUM(State_Quality_Summary!L105,State_Quality_Summary!N105), 1)</f>
        <v>0.987599903124243</v>
      </c>
      <c r="K105" s="32" t="n">
        <v>0</v>
      </c>
      <c r="L105" s="32" t="n">
        <f aca="false">IF(SUM(State_Quality_Summary!L105,State_Quality_Summary!N105)&gt;0, State_Quality_Summary!N105/SUM(State_Quality_Summary!L105,State_Quality_Summary!N105), 0)</f>
        <v>0.0124000968757568</v>
      </c>
      <c r="M105" s="32" t="n">
        <v>0</v>
      </c>
      <c r="N105" s="13" t="str">
        <f aca="false">IF(L105&gt;0.05,"Poor Quality",IF(L105&gt;0.01,"Moderately Safe","Excellent"))</f>
        <v>Moderately Safe</v>
      </c>
    </row>
    <row r="106" customFormat="false" ht="15" hidden="false" customHeight="true" outlineLevel="0" collapsed="false">
      <c r="A106" s="16" t="n">
        <v>2023</v>
      </c>
      <c r="B106" s="16" t="s">
        <v>73</v>
      </c>
      <c r="C106" s="16" t="s">
        <v>50</v>
      </c>
      <c r="D106" s="18" t="s">
        <v>19</v>
      </c>
      <c r="E106" s="18" t="s">
        <v>19</v>
      </c>
      <c r="F106" s="18" t="s">
        <v>19</v>
      </c>
      <c r="G106" s="18" t="s">
        <v>19</v>
      </c>
      <c r="H106" s="18" t="s">
        <v>19</v>
      </c>
      <c r="I106" s="18" t="n">
        <v>219</v>
      </c>
      <c r="J106" s="31" t="n">
        <f aca="false">IF(SUM(State_Quality_Summary!L106,State_Quality_Summary!N106)&gt;0, State_Quality_Summary!L106/SUM(State_Quality_Summary!L106,State_Quality_Summary!N106), 1)</f>
        <v>0.802899308901677</v>
      </c>
      <c r="K106" s="33" t="n">
        <v>0</v>
      </c>
      <c r="L106" s="33" t="n">
        <f aca="false">IF(SUM(State_Quality_Summary!L106,State_Quality_Summary!N106)&gt;0, State_Quality_Summary!N106/SUM(State_Quality_Summary!L106,State_Quality_Summary!N106), 0)</f>
        <v>0.197100691098323</v>
      </c>
      <c r="M106" s="33" t="n">
        <v>0</v>
      </c>
      <c r="N106" s="16" t="str">
        <f aca="false">IF(L106&gt;0.05,"Poor Quality",IF(L106&gt;0.01,"Moderately Safe","Excellent"))</f>
        <v>Poor Quality</v>
      </c>
    </row>
    <row r="107" customFormat="false" ht="15" hidden="false" customHeight="true" outlineLevel="0" collapsed="false">
      <c r="A107" s="13" t="n">
        <v>2024</v>
      </c>
      <c r="B107" s="13" t="s">
        <v>176</v>
      </c>
      <c r="C107" s="13" t="s">
        <v>177</v>
      </c>
      <c r="D107" s="15" t="s">
        <v>19</v>
      </c>
      <c r="E107" s="15" t="s">
        <v>19</v>
      </c>
      <c r="F107" s="15" t="s">
        <v>19</v>
      </c>
      <c r="G107" s="15" t="s">
        <v>19</v>
      </c>
      <c r="H107" s="15" t="s">
        <v>19</v>
      </c>
      <c r="I107" s="15" t="n">
        <v>11</v>
      </c>
      <c r="J107" s="31" t="n">
        <f aca="false">IF(SUM(State_Quality_Summary!L107,State_Quality_Summary!N107)&gt;0, State_Quality_Summary!L107/SUM(State_Quality_Summary!L107,State_Quality_Summary!N107), 1)</f>
        <v>0.997701149425287</v>
      </c>
      <c r="K107" s="32" t="n">
        <v>0</v>
      </c>
      <c r="L107" s="32" t="n">
        <f aca="false">IF(SUM(State_Quality_Summary!L107,State_Quality_Summary!N107)&gt;0, State_Quality_Summary!N107/SUM(State_Quality_Summary!L107,State_Quality_Summary!N107), 0)</f>
        <v>0.00229885057471264</v>
      </c>
      <c r="M107" s="32" t="n">
        <v>0</v>
      </c>
      <c r="N107" s="13" t="str">
        <f aca="false">IF(L107&gt;0.05,"Poor Quality",IF(L107&gt;0.01,"Moderately Safe","Excellent"))</f>
        <v>Excellent</v>
      </c>
    </row>
    <row r="108" customFormat="false" ht="15" hidden="false" customHeight="true" outlineLevel="0" collapsed="false">
      <c r="A108" s="16" t="n">
        <v>2024</v>
      </c>
      <c r="B108" s="16" t="s">
        <v>13</v>
      </c>
      <c r="C108" s="16" t="s">
        <v>180</v>
      </c>
      <c r="D108" s="18" t="n">
        <v>115</v>
      </c>
      <c r="E108" s="18" t="s">
        <v>19</v>
      </c>
      <c r="F108" s="18" t="n">
        <v>4</v>
      </c>
      <c r="G108" s="18" t="s">
        <v>19</v>
      </c>
      <c r="H108" s="18" t="n">
        <v>115</v>
      </c>
      <c r="I108" s="18" t="n">
        <v>131</v>
      </c>
      <c r="J108" s="31" t="n">
        <f aca="false">IF(SUM(State_Quality_Summary!L108,State_Quality_Summary!N108)&gt;0, State_Quality_Summary!L108/SUM(State_Quality_Summary!L108,State_Quality_Summary!N108), 1)</f>
        <v>1</v>
      </c>
      <c r="K108" s="33" t="n">
        <v>0</v>
      </c>
      <c r="L108" s="33" t="n">
        <f aca="false">IF(SUM(State_Quality_Summary!L108,State_Quality_Summary!N108)&gt;0, State_Quality_Summary!N108/SUM(State_Quality_Summary!L108,State_Quality_Summary!N108), 0)</f>
        <v>0</v>
      </c>
      <c r="M108" s="33" t="n">
        <v>0</v>
      </c>
      <c r="N108" s="16" t="str">
        <f aca="false">IF(L108&gt;0.05,"Poor Quality",IF(L108&gt;0.01,"Moderately Safe","Excellent"))</f>
        <v>Excellent</v>
      </c>
    </row>
    <row r="109" customFormat="false" ht="15" hidden="false" customHeight="true" outlineLevel="0" collapsed="false">
      <c r="A109" s="13" t="n">
        <v>2024</v>
      </c>
      <c r="B109" s="13" t="s">
        <v>182</v>
      </c>
      <c r="C109" s="13" t="s">
        <v>183</v>
      </c>
      <c r="D109" s="15" t="s">
        <v>19</v>
      </c>
      <c r="E109" s="15" t="s">
        <v>19</v>
      </c>
      <c r="F109" s="15" t="s">
        <v>19</v>
      </c>
      <c r="G109" s="15" t="s">
        <v>19</v>
      </c>
      <c r="H109" s="15" t="s">
        <v>19</v>
      </c>
      <c r="I109" s="15" t="n">
        <v>36</v>
      </c>
      <c r="J109" s="31" t="n">
        <f aca="false">IF(SUM(State_Quality_Summary!L109,State_Quality_Summary!N109)&gt;0, State_Quality_Summary!L109/SUM(State_Quality_Summary!L109,State_Quality_Summary!N109), 1)</f>
        <v>1</v>
      </c>
      <c r="K109" s="32" t="n">
        <v>0</v>
      </c>
      <c r="L109" s="32" t="n">
        <f aca="false">IF(SUM(State_Quality_Summary!L109,State_Quality_Summary!N109)&gt;0, State_Quality_Summary!N109/SUM(State_Quality_Summary!L109,State_Quality_Summary!N109), 0)</f>
        <v>0</v>
      </c>
      <c r="M109" s="32" t="n">
        <v>0</v>
      </c>
      <c r="N109" s="13" t="str">
        <f aca="false">IF(L109&gt;0.05,"Poor Quality",IF(L109&gt;0.01,"Moderately Safe","Excellent"))</f>
        <v>Excellent</v>
      </c>
    </row>
    <row r="110" customFormat="false" ht="15" hidden="false" customHeight="true" outlineLevel="0" collapsed="false">
      <c r="A110" s="16" t="n">
        <v>2024</v>
      </c>
      <c r="B110" s="16" t="s">
        <v>184</v>
      </c>
      <c r="C110" s="16" t="s">
        <v>183</v>
      </c>
      <c r="D110" s="18" t="s">
        <v>19</v>
      </c>
      <c r="E110" s="18" t="s">
        <v>19</v>
      </c>
      <c r="F110" s="18" t="s">
        <v>19</v>
      </c>
      <c r="G110" s="18" t="s">
        <v>19</v>
      </c>
      <c r="H110" s="18" t="s">
        <v>19</v>
      </c>
      <c r="I110" s="18" t="n">
        <v>79</v>
      </c>
      <c r="J110" s="31" t="n">
        <f aca="false">IF(SUM(State_Quality_Summary!L110,State_Quality_Summary!N110)&gt;0, State_Quality_Summary!L110/SUM(State_Quality_Summary!L110,State_Quality_Summary!N110), 1)</f>
        <v>0.991600048085592</v>
      </c>
      <c r="K110" s="33" t="n">
        <v>0</v>
      </c>
      <c r="L110" s="33" t="n">
        <f aca="false">IF(SUM(State_Quality_Summary!L110,State_Quality_Summary!N110)&gt;0, State_Quality_Summary!N110/SUM(State_Quality_Summary!L110,State_Quality_Summary!N110), 0)</f>
        <v>0.00839995191440765</v>
      </c>
      <c r="M110" s="33" t="n">
        <v>0</v>
      </c>
      <c r="N110" s="16" t="str">
        <f aca="false">IF(L110&gt;0.05,"Poor Quality",IF(L110&gt;0.01,"Moderately Safe","Excellent"))</f>
        <v>Excellent</v>
      </c>
    </row>
    <row r="111" customFormat="false" ht="15" hidden="false" customHeight="true" outlineLevel="0" collapsed="false">
      <c r="A111" s="13" t="n">
        <v>2024</v>
      </c>
      <c r="B111" s="13" t="s">
        <v>69</v>
      </c>
      <c r="C111" s="13" t="s">
        <v>50</v>
      </c>
      <c r="D111" s="15" t="s">
        <v>19</v>
      </c>
      <c r="E111" s="15" t="s">
        <v>19</v>
      </c>
      <c r="F111" s="15" t="s">
        <v>19</v>
      </c>
      <c r="G111" s="15" t="s">
        <v>19</v>
      </c>
      <c r="H111" s="15" t="s">
        <v>19</v>
      </c>
      <c r="I111" s="15" t="n">
        <v>116</v>
      </c>
      <c r="J111" s="31" t="n">
        <f aca="false">IF(SUM(State_Quality_Summary!L111,State_Quality_Summary!N111)&gt;0, State_Quality_Summary!L111/SUM(State_Quality_Summary!L111,State_Quality_Summary!N111), 1)</f>
        <v>0.9998</v>
      </c>
      <c r="K111" s="32" t="n">
        <v>0</v>
      </c>
      <c r="L111" s="32" t="n">
        <f aca="false">IF(SUM(State_Quality_Summary!L111,State_Quality_Summary!N111)&gt;0, State_Quality_Summary!N111/SUM(State_Quality_Summary!L111,State_Quality_Summary!N111), 0)</f>
        <v>0.0002</v>
      </c>
      <c r="M111" s="32" t="n">
        <v>0</v>
      </c>
      <c r="N111" s="13" t="str">
        <f aca="false">IF(L111&gt;0.05,"Poor Quality",IF(L111&gt;0.01,"Moderately Safe","Excellent"))</f>
        <v>Excellent</v>
      </c>
    </row>
    <row r="112" customFormat="false" ht="15" hidden="false" customHeight="true" outlineLevel="0" collapsed="false">
      <c r="A112" s="16" t="n">
        <v>2024</v>
      </c>
      <c r="B112" s="16" t="s">
        <v>187</v>
      </c>
      <c r="C112" s="16" t="s">
        <v>188</v>
      </c>
      <c r="D112" s="18" t="s">
        <v>19</v>
      </c>
      <c r="E112" s="18" t="s">
        <v>19</v>
      </c>
      <c r="F112" s="18" t="s">
        <v>19</v>
      </c>
      <c r="G112" s="18" t="s">
        <v>19</v>
      </c>
      <c r="H112" s="18" t="s">
        <v>19</v>
      </c>
      <c r="I112" s="18" t="n">
        <v>74</v>
      </c>
      <c r="J112" s="31" t="n">
        <f aca="false">IF(SUM(State_Quality_Summary!L112,State_Quality_Summary!N112)&gt;0, State_Quality_Summary!L112/SUM(State_Quality_Summary!L112,State_Quality_Summary!N112), 1)</f>
        <v>0.999300007241304</v>
      </c>
      <c r="K112" s="33" t="n">
        <v>0</v>
      </c>
      <c r="L112" s="33" t="n">
        <f aca="false">IF(SUM(State_Quality_Summary!L112,State_Quality_Summary!N112)&gt;0, State_Quality_Summary!N112/SUM(State_Quality_Summary!L112,State_Quality_Summary!N112), 0)</f>
        <v>0.0006999927586956</v>
      </c>
      <c r="M112" s="33" t="n">
        <v>0</v>
      </c>
      <c r="N112" s="16" t="str">
        <f aca="false">IF(L112&gt;0.05,"Poor Quality",IF(L112&gt;0.01,"Moderately Safe","Excellent"))</f>
        <v>Excellent</v>
      </c>
    </row>
    <row r="113" customFormat="false" ht="15" hidden="false" customHeight="true" outlineLevel="0" collapsed="false">
      <c r="A113" s="13" t="n">
        <v>2024</v>
      </c>
      <c r="B113" s="13" t="s">
        <v>190</v>
      </c>
      <c r="C113" s="13" t="s">
        <v>177</v>
      </c>
      <c r="D113" s="15" t="s">
        <v>19</v>
      </c>
      <c r="E113" s="15" t="s">
        <v>19</v>
      </c>
      <c r="F113" s="15" t="s">
        <v>19</v>
      </c>
      <c r="G113" s="15" t="s">
        <v>19</v>
      </c>
      <c r="H113" s="15" t="s">
        <v>19</v>
      </c>
      <c r="I113" s="15" t="n">
        <v>2</v>
      </c>
      <c r="J113" s="31" t="n">
        <f aca="false">IF(SUM(State_Quality_Summary!L113,State_Quality_Summary!N113)&gt;0, State_Quality_Summary!L113/SUM(State_Quality_Summary!L113,State_Quality_Summary!N113), 1)</f>
        <v>1</v>
      </c>
      <c r="K113" s="32" t="n">
        <v>0</v>
      </c>
      <c r="L113" s="32" t="n">
        <f aca="false">IF(SUM(State_Quality_Summary!L113,State_Quality_Summary!N113)&gt;0, State_Quality_Summary!N113/SUM(State_Quality_Summary!L113,State_Quality_Summary!N113), 0)</f>
        <v>0</v>
      </c>
      <c r="M113" s="32" t="n">
        <v>0</v>
      </c>
      <c r="N113" s="13" t="str">
        <f aca="false">IF(L113&gt;0.05,"Poor Quality",IF(L113&gt;0.01,"Moderately Safe","Excellent"))</f>
        <v>Excellent</v>
      </c>
    </row>
    <row r="114" customFormat="false" ht="15" hidden="false" customHeight="true" outlineLevel="0" collapsed="false">
      <c r="A114" s="16" t="n">
        <v>2024</v>
      </c>
      <c r="B114" s="16" t="s">
        <v>191</v>
      </c>
      <c r="C114" s="16" t="s">
        <v>192</v>
      </c>
      <c r="D114" s="18" t="n">
        <v>3</v>
      </c>
      <c r="E114" s="18" t="s">
        <v>19</v>
      </c>
      <c r="F114" s="18" t="s">
        <v>19</v>
      </c>
      <c r="G114" s="18" t="s">
        <v>19</v>
      </c>
      <c r="H114" s="18" t="n">
        <v>3</v>
      </c>
      <c r="I114" s="18" t="n">
        <v>22</v>
      </c>
      <c r="J114" s="31" t="n">
        <f aca="false">IF(SUM(State_Quality_Summary!L114,State_Quality_Summary!N114)&gt;0, State_Quality_Summary!L114/SUM(State_Quality_Summary!L114,State_Quality_Summary!N114), 1)</f>
        <v>0.993997599039616</v>
      </c>
      <c r="K114" s="33" t="n">
        <v>0</v>
      </c>
      <c r="L114" s="33" t="n">
        <f aca="false">IF(SUM(State_Quality_Summary!L114,State_Quality_Summary!N114)&gt;0, State_Quality_Summary!N114/SUM(State_Quality_Summary!L114,State_Quality_Summary!N114), 0)</f>
        <v>0.00600240096038415</v>
      </c>
      <c r="M114" s="33" t="n">
        <v>0</v>
      </c>
      <c r="N114" s="16" t="str">
        <f aca="false">IF(L114&gt;0.05,"Poor Quality",IF(L114&gt;0.01,"Moderately Safe","Excellent"))</f>
        <v>Excellent</v>
      </c>
    </row>
    <row r="115" customFormat="false" ht="15" hidden="false" customHeight="true" outlineLevel="0" collapsed="false">
      <c r="A115" s="13" t="n">
        <v>2024</v>
      </c>
      <c r="B115" s="13" t="s">
        <v>194</v>
      </c>
      <c r="C115" s="13" t="s">
        <v>192</v>
      </c>
      <c r="D115" s="15" t="s">
        <v>19</v>
      </c>
      <c r="E115" s="15" t="s">
        <v>19</v>
      </c>
      <c r="F115" s="15" t="s">
        <v>19</v>
      </c>
      <c r="G115" s="15" t="s">
        <v>19</v>
      </c>
      <c r="H115" s="15" t="s">
        <v>19</v>
      </c>
      <c r="I115" s="15" t="n">
        <v>403</v>
      </c>
      <c r="J115" s="31" t="n">
        <f aca="false">IF(SUM(State_Quality_Summary!L115,State_Quality_Summary!N115)&gt;0, State_Quality_Summary!L115/SUM(State_Quality_Summary!L115,State_Quality_Summary!N115), 1)</f>
        <v>0.996800010916807</v>
      </c>
      <c r="K115" s="32" t="n">
        <v>0</v>
      </c>
      <c r="L115" s="32" t="n">
        <f aca="false">IF(SUM(State_Quality_Summary!L115,State_Quality_Summary!N115)&gt;0, State_Quality_Summary!N115/SUM(State_Quality_Summary!L115,State_Quality_Summary!N115), 0)</f>
        <v>0.00319998908319289</v>
      </c>
      <c r="M115" s="32" t="n">
        <v>0</v>
      </c>
      <c r="N115" s="13" t="str">
        <f aca="false">IF(L115&gt;0.05,"Poor Quality",IF(L115&gt;0.01,"Moderately Safe","Excellent"))</f>
        <v>Excellent</v>
      </c>
    </row>
    <row r="116" customFormat="false" ht="15" hidden="false" customHeight="true" outlineLevel="0" collapsed="false">
      <c r="A116" s="16" t="n">
        <v>2024</v>
      </c>
      <c r="B116" s="16" t="s">
        <v>38</v>
      </c>
      <c r="C116" s="16" t="s">
        <v>39</v>
      </c>
      <c r="D116" s="18" t="n">
        <v>40822</v>
      </c>
      <c r="E116" s="18" t="n">
        <v>40822</v>
      </c>
      <c r="F116" s="18" t="n">
        <v>1</v>
      </c>
      <c r="G116" s="18" t="s">
        <v>19</v>
      </c>
      <c r="H116" s="18" t="s">
        <v>19</v>
      </c>
      <c r="I116" s="18" t="n">
        <v>42</v>
      </c>
      <c r="J116" s="31" t="n">
        <f aca="false">IF(SUM(State_Quality_Summary!L116,State_Quality_Summary!N116)&gt;0, State_Quality_Summary!L116/SUM(State_Quality_Summary!L116,State_Quality_Summary!N116), 1)</f>
        <v>0.911000901713255</v>
      </c>
      <c r="K116" s="33" t="n">
        <v>0</v>
      </c>
      <c r="L116" s="33" t="n">
        <f aca="false">IF(SUM(State_Quality_Summary!L116,State_Quality_Summary!N116)&gt;0, State_Quality_Summary!N116/SUM(State_Quality_Summary!L116,State_Quality_Summary!N116), 0)</f>
        <v>0.0889990982867448</v>
      </c>
      <c r="M116" s="33" t="n">
        <v>0</v>
      </c>
      <c r="N116" s="16" t="str">
        <f aca="false">IF(L116&gt;0.05,"Poor Quality",IF(L116&gt;0.01,"Moderately Safe","Excellent"))</f>
        <v>Poor Quality</v>
      </c>
    </row>
    <row r="117" customFormat="false" ht="15" hidden="false" customHeight="true" outlineLevel="0" collapsed="false">
      <c r="A117" s="13" t="n">
        <v>2024</v>
      </c>
      <c r="B117" s="13" t="s">
        <v>197</v>
      </c>
      <c r="C117" s="13" t="s">
        <v>39</v>
      </c>
      <c r="D117" s="15" t="s">
        <v>19</v>
      </c>
      <c r="E117" s="15" t="s">
        <v>19</v>
      </c>
      <c r="F117" s="15" t="s">
        <v>19</v>
      </c>
      <c r="G117" s="15" t="s">
        <v>19</v>
      </c>
      <c r="H117" s="15" t="s">
        <v>19</v>
      </c>
      <c r="I117" s="15" t="n">
        <v>80</v>
      </c>
      <c r="J117" s="31" t="n">
        <f aca="false">IF(SUM(State_Quality_Summary!L117,State_Quality_Summary!N117)&gt;0, State_Quality_Summary!L117/SUM(State_Quality_Summary!L117,State_Quality_Summary!N117), 1)</f>
        <v>1</v>
      </c>
      <c r="K117" s="32" t="n">
        <v>0</v>
      </c>
      <c r="L117" s="32" t="n">
        <f aca="false">IF(SUM(State_Quality_Summary!L117,State_Quality_Summary!N117)&gt;0, State_Quality_Summary!N117/SUM(State_Quality_Summary!L117,State_Quality_Summary!N117), 0)</f>
        <v>0</v>
      </c>
      <c r="M117" s="32" t="n">
        <v>0</v>
      </c>
      <c r="N117" s="13" t="str">
        <f aca="false">IF(L117&gt;0.05,"Poor Quality",IF(L117&gt;0.01,"Moderately Safe","Excellent"))</f>
        <v>Excellent</v>
      </c>
    </row>
    <row r="118" customFormat="false" ht="15" hidden="false" customHeight="true" outlineLevel="0" collapsed="false">
      <c r="A118" s="16" t="n">
        <v>2024</v>
      </c>
      <c r="B118" s="16" t="s">
        <v>141</v>
      </c>
      <c r="C118" s="16" t="s">
        <v>39</v>
      </c>
      <c r="D118" s="18" t="s">
        <v>19</v>
      </c>
      <c r="E118" s="18" t="s">
        <v>19</v>
      </c>
      <c r="F118" s="18" t="s">
        <v>19</v>
      </c>
      <c r="G118" s="18" t="s">
        <v>19</v>
      </c>
      <c r="H118" s="18" t="s">
        <v>19</v>
      </c>
      <c r="I118" s="18" t="n">
        <v>92</v>
      </c>
      <c r="J118" s="31" t="n">
        <f aca="false">IF(SUM(State_Quality_Summary!L118,State_Quality_Summary!N118)&gt;0, State_Quality_Summary!L118/SUM(State_Quality_Summary!L118,State_Quality_Summary!N118), 1)</f>
        <v>0.9991</v>
      </c>
      <c r="K118" s="33" t="n">
        <v>0</v>
      </c>
      <c r="L118" s="33" t="n">
        <f aca="false">IF(SUM(State_Quality_Summary!L118,State_Quality_Summary!N118)&gt;0, State_Quality_Summary!N118/SUM(State_Quality_Summary!L118,State_Quality_Summary!N118), 0)</f>
        <v>0.0009</v>
      </c>
      <c r="M118" s="33" t="n">
        <v>0</v>
      </c>
      <c r="N118" s="16" t="str">
        <f aca="false">IF(L118&gt;0.05,"Poor Quality",IF(L118&gt;0.01,"Moderately Safe","Excellent"))</f>
        <v>Excellent</v>
      </c>
    </row>
    <row r="119" customFormat="false" ht="15" hidden="false" customHeight="true" outlineLevel="0" collapsed="false">
      <c r="A119" s="13" t="n">
        <v>2024</v>
      </c>
      <c r="B119" s="13" t="s">
        <v>71</v>
      </c>
      <c r="C119" s="13" t="s">
        <v>50</v>
      </c>
      <c r="D119" s="15" t="s">
        <v>19</v>
      </c>
      <c r="E119" s="15" t="s">
        <v>19</v>
      </c>
      <c r="F119" s="15" t="s">
        <v>19</v>
      </c>
      <c r="G119" s="15" t="s">
        <v>19</v>
      </c>
      <c r="H119" s="15" t="s">
        <v>19</v>
      </c>
      <c r="I119" s="15" t="n">
        <v>37</v>
      </c>
      <c r="J119" s="31" t="n">
        <f aca="false">IF(SUM(State_Quality_Summary!L119,State_Quality_Summary!N119)&gt;0, State_Quality_Summary!L119/SUM(State_Quality_Summary!L119,State_Quality_Summary!N119), 1)</f>
        <v>0.9998</v>
      </c>
      <c r="K119" s="32" t="n">
        <v>0</v>
      </c>
      <c r="L119" s="32" t="n">
        <f aca="false">IF(SUM(State_Quality_Summary!L119,State_Quality_Summary!N119)&gt;0, State_Quality_Summary!N119/SUM(State_Quality_Summary!L119,State_Quality_Summary!N119), 0)</f>
        <v>0.0002</v>
      </c>
      <c r="M119" s="32" t="n">
        <v>0</v>
      </c>
      <c r="N119" s="13" t="str">
        <f aca="false">IF(L119&gt;0.05,"Poor Quality",IF(L119&gt;0.01,"Moderately Safe","Excellent"))</f>
        <v>Excellent</v>
      </c>
    </row>
    <row r="120" customFormat="false" ht="15" hidden="false" customHeight="true" outlineLevel="0" collapsed="false">
      <c r="A120" s="16" t="n">
        <v>2024</v>
      </c>
      <c r="B120" s="16" t="s">
        <v>111</v>
      </c>
      <c r="C120" s="16" t="s">
        <v>180</v>
      </c>
      <c r="D120" s="18" t="n">
        <v>11</v>
      </c>
      <c r="E120" s="18" t="s">
        <v>19</v>
      </c>
      <c r="F120" s="18" t="n">
        <v>1</v>
      </c>
      <c r="G120" s="18" t="s">
        <v>19</v>
      </c>
      <c r="H120" s="18" t="n">
        <v>11</v>
      </c>
      <c r="I120" s="18" t="n">
        <v>102</v>
      </c>
      <c r="J120" s="31" t="n">
        <f aca="false">IF(SUM(State_Quality_Summary!L120,State_Quality_Summary!N120)&gt;0, State_Quality_Summary!L120/SUM(State_Quality_Summary!L120,State_Quality_Summary!N120), 1)</f>
        <v>0.956700086301501</v>
      </c>
      <c r="K120" s="33" t="n">
        <v>0</v>
      </c>
      <c r="L120" s="33" t="n">
        <f aca="false">IF(SUM(State_Quality_Summary!L120,State_Quality_Summary!N120)&gt;0, State_Quality_Summary!N120/SUM(State_Quality_Summary!L120,State_Quality_Summary!N120), 0)</f>
        <v>0.0432999136984988</v>
      </c>
      <c r="M120" s="33" t="n">
        <v>0</v>
      </c>
      <c r="N120" s="16" t="str">
        <f aca="false">IF(L120&gt;0.05,"Poor Quality",IF(L120&gt;0.01,"Moderately Safe","Excellent"))</f>
        <v>Moderately Safe</v>
      </c>
    </row>
    <row r="121" customFormat="false" ht="15" hidden="false" customHeight="true" outlineLevel="0" collapsed="false">
      <c r="A121" s="13" t="n">
        <v>2024</v>
      </c>
      <c r="B121" s="13" t="s">
        <v>200</v>
      </c>
      <c r="C121" s="13" t="s">
        <v>180</v>
      </c>
      <c r="D121" s="15" t="s">
        <v>19</v>
      </c>
      <c r="E121" s="15" t="s">
        <v>19</v>
      </c>
      <c r="F121" s="15" t="s">
        <v>19</v>
      </c>
      <c r="G121" s="15" t="s">
        <v>19</v>
      </c>
      <c r="H121" s="15" t="s">
        <v>19</v>
      </c>
      <c r="I121" s="15" t="n">
        <v>89</v>
      </c>
      <c r="J121" s="31" t="n">
        <f aca="false">IF(SUM(State_Quality_Summary!L121,State_Quality_Summary!N121)&gt;0, State_Quality_Summary!L121/SUM(State_Quality_Summary!L121,State_Quality_Summary!N121), 1)</f>
        <v>0.894099813702688</v>
      </c>
      <c r="K121" s="32" t="n">
        <v>0</v>
      </c>
      <c r="L121" s="32" t="n">
        <f aca="false">IF(SUM(State_Quality_Summary!L121,State_Quality_Summary!N121)&gt;0, State_Quality_Summary!N121/SUM(State_Quality_Summary!L121,State_Quality_Summary!N121), 0)</f>
        <v>0.105900186297312</v>
      </c>
      <c r="M121" s="32" t="n">
        <v>0</v>
      </c>
      <c r="N121" s="13" t="str">
        <f aca="false">IF(L121&gt;0.05,"Poor Quality",IF(L121&gt;0.01,"Moderately Safe","Excellent"))</f>
        <v>Poor Quality</v>
      </c>
    </row>
    <row r="122" customFormat="false" ht="15" hidden="false" customHeight="true" outlineLevel="0" collapsed="false">
      <c r="A122" s="16" t="n">
        <v>2024</v>
      </c>
      <c r="B122" s="16" t="s">
        <v>202</v>
      </c>
      <c r="C122" s="16" t="s">
        <v>177</v>
      </c>
      <c r="D122" s="18" t="s">
        <v>19</v>
      </c>
      <c r="E122" s="18" t="s">
        <v>19</v>
      </c>
      <c r="F122" s="18" t="s">
        <v>19</v>
      </c>
      <c r="G122" s="18" t="s">
        <v>19</v>
      </c>
      <c r="H122" s="18" t="s">
        <v>19</v>
      </c>
      <c r="I122" s="18" t="n">
        <v>9</v>
      </c>
      <c r="J122" s="31" t="n">
        <f aca="false">IF(SUM(State_Quality_Summary!L122,State_Quality_Summary!N122)&gt;0, State_Quality_Summary!L122/SUM(State_Quality_Summary!L122,State_Quality_Summary!N122), 1)</f>
        <v>0.979591836734694</v>
      </c>
      <c r="K122" s="33" t="n">
        <v>0</v>
      </c>
      <c r="L122" s="33" t="n">
        <f aca="false">IF(SUM(State_Quality_Summary!L122,State_Quality_Summary!N122)&gt;0, State_Quality_Summary!N122/SUM(State_Quality_Summary!L122,State_Quality_Summary!N122), 0)</f>
        <v>0.0204081632653061</v>
      </c>
      <c r="M122" s="33" t="n">
        <v>0</v>
      </c>
      <c r="N122" s="16" t="str">
        <f aca="false">IF(L122&gt;0.05,"Poor Quality",IF(L122&gt;0.01,"Moderately Safe","Excellent"))</f>
        <v>Moderately Safe</v>
      </c>
    </row>
    <row r="123" customFormat="false" ht="15" hidden="false" customHeight="true" outlineLevel="0" collapsed="false">
      <c r="A123" s="13" t="n">
        <v>2024</v>
      </c>
      <c r="B123" s="13" t="s">
        <v>204</v>
      </c>
      <c r="C123" s="13" t="s">
        <v>177</v>
      </c>
      <c r="D123" s="15" t="s">
        <v>19</v>
      </c>
      <c r="E123" s="15" t="s">
        <v>19</v>
      </c>
      <c r="F123" s="15" t="s">
        <v>19</v>
      </c>
      <c r="G123" s="15" t="s">
        <v>19</v>
      </c>
      <c r="H123" s="15" t="s">
        <v>19</v>
      </c>
      <c r="I123" s="15" t="n">
        <v>8</v>
      </c>
      <c r="J123" s="31" t="n">
        <f aca="false">IF(SUM(State_Quality_Summary!L123,State_Quality_Summary!N123)&gt;0, State_Quality_Summary!L123/SUM(State_Quality_Summary!L123,State_Quality_Summary!N123), 1)</f>
        <v>0.9992</v>
      </c>
      <c r="K123" s="32" t="n">
        <v>0</v>
      </c>
      <c r="L123" s="32" t="n">
        <f aca="false">IF(SUM(State_Quality_Summary!L123,State_Quality_Summary!N123)&gt;0, State_Quality_Summary!N123/SUM(State_Quality_Summary!L123,State_Quality_Summary!N123), 0)</f>
        <v>0.0008</v>
      </c>
      <c r="M123" s="32" t="n">
        <v>0</v>
      </c>
      <c r="N123" s="13" t="str">
        <f aca="false">IF(L123&gt;0.05,"Poor Quality",IF(L123&gt;0.01,"Moderately Safe","Excellent"))</f>
        <v>Excellent</v>
      </c>
    </row>
    <row r="124" customFormat="false" ht="15" hidden="false" customHeight="true" outlineLevel="0" collapsed="false">
      <c r="A124" s="16" t="n">
        <v>2024</v>
      </c>
      <c r="B124" s="16" t="s">
        <v>206</v>
      </c>
      <c r="C124" s="16" t="s">
        <v>188</v>
      </c>
      <c r="D124" s="18" t="s">
        <v>19</v>
      </c>
      <c r="E124" s="18" t="s">
        <v>19</v>
      </c>
      <c r="F124" s="18" t="s">
        <v>19</v>
      </c>
      <c r="G124" s="18" t="s">
        <v>19</v>
      </c>
      <c r="H124" s="18" t="s">
        <v>19</v>
      </c>
      <c r="I124" s="18" t="n">
        <v>176</v>
      </c>
      <c r="J124" s="31" t="n">
        <f aca="false">IF(SUM(State_Quality_Summary!L124,State_Quality_Summary!N124)&gt;0, State_Quality_Summary!L124/SUM(State_Quality_Summary!L124,State_Quality_Summary!N124), 1)</f>
        <v>0.999699999552238</v>
      </c>
      <c r="K124" s="33" t="n">
        <v>0</v>
      </c>
      <c r="L124" s="33" t="n">
        <f aca="false">IF(SUM(State_Quality_Summary!L124,State_Quality_Summary!N124)&gt;0, State_Quality_Summary!N124/SUM(State_Quality_Summary!L124,State_Quality_Summary!N124), 0)</f>
        <v>0.000300000447761862</v>
      </c>
      <c r="M124" s="33" t="n">
        <v>0</v>
      </c>
      <c r="N124" s="16" t="str">
        <f aca="false">IF(L124&gt;0.05,"Poor Quality",IF(L124&gt;0.01,"Moderately Safe","Excellent"))</f>
        <v>Excellent</v>
      </c>
    </row>
    <row r="125" customFormat="false" ht="15" hidden="false" customHeight="true" outlineLevel="0" collapsed="false">
      <c r="A125" s="13" t="n">
        <v>2024</v>
      </c>
      <c r="B125" s="13" t="s">
        <v>208</v>
      </c>
      <c r="C125" s="13" t="s">
        <v>192</v>
      </c>
      <c r="D125" s="15" t="n">
        <v>30</v>
      </c>
      <c r="E125" s="15" t="s">
        <v>19</v>
      </c>
      <c r="F125" s="15" t="n">
        <v>1</v>
      </c>
      <c r="G125" s="15" t="s">
        <v>19</v>
      </c>
      <c r="H125" s="15" t="n">
        <v>30</v>
      </c>
      <c r="I125" s="15" t="n">
        <v>217</v>
      </c>
      <c r="J125" s="31" t="n">
        <f aca="false">IF(SUM(State_Quality_Summary!L125,State_Quality_Summary!N125)&gt;0, State_Quality_Summary!L125/SUM(State_Quality_Summary!L125,State_Quality_Summary!N125), 1)</f>
        <v>0.962199964488063</v>
      </c>
      <c r="K125" s="32" t="n">
        <v>0</v>
      </c>
      <c r="L125" s="32" t="n">
        <f aca="false">IF(SUM(State_Quality_Summary!L125,State_Quality_Summary!N125)&gt;0, State_Quality_Summary!N125/SUM(State_Quality_Summary!L125,State_Quality_Summary!N125), 0)</f>
        <v>0.0378000355119369</v>
      </c>
      <c r="M125" s="32" t="n">
        <v>0</v>
      </c>
      <c r="N125" s="13" t="str">
        <f aca="false">IF(L125&gt;0.05,"Poor Quality",IF(L125&gt;0.01,"Moderately Safe","Excellent"))</f>
        <v>Moderately Safe</v>
      </c>
    </row>
    <row r="126" customFormat="false" ht="15" hidden="false" customHeight="true" outlineLevel="0" collapsed="false">
      <c r="A126" s="16" t="n">
        <v>2024</v>
      </c>
      <c r="B126" s="16" t="s">
        <v>210</v>
      </c>
      <c r="C126" s="16" t="s">
        <v>183</v>
      </c>
      <c r="D126" s="18" t="s">
        <v>19</v>
      </c>
      <c r="E126" s="18" t="s">
        <v>19</v>
      </c>
      <c r="F126" s="18" t="s">
        <v>19</v>
      </c>
      <c r="G126" s="18" t="s">
        <v>19</v>
      </c>
      <c r="H126" s="18" t="s">
        <v>19</v>
      </c>
      <c r="I126" s="18" t="n">
        <v>13</v>
      </c>
      <c r="J126" s="31" t="n">
        <f aca="false">IF(SUM(State_Quality_Summary!L126,State_Quality_Summary!N126)&gt;0, State_Quality_Summary!L126/SUM(State_Quality_Summary!L126,State_Quality_Summary!N126), 1)</f>
        <v>1</v>
      </c>
      <c r="K126" s="33" t="n">
        <v>0</v>
      </c>
      <c r="L126" s="33" t="n">
        <f aca="false">IF(SUM(State_Quality_Summary!L126,State_Quality_Summary!N126)&gt;0, State_Quality_Summary!N126/SUM(State_Quality_Summary!L126,State_Quality_Summary!N126), 0)</f>
        <v>0</v>
      </c>
      <c r="M126" s="33" t="n">
        <v>0</v>
      </c>
      <c r="N126" s="16" t="str">
        <f aca="false">IF(L126&gt;0.05,"Poor Quality",IF(L126&gt;0.01,"Moderately Safe","Excellent"))</f>
        <v>Excellent</v>
      </c>
    </row>
    <row r="127" customFormat="false" ht="15" hidden="false" customHeight="true" outlineLevel="0" collapsed="false">
      <c r="A127" s="13" t="n">
        <v>2024</v>
      </c>
      <c r="B127" s="13" t="s">
        <v>211</v>
      </c>
      <c r="C127" s="13" t="s">
        <v>183</v>
      </c>
      <c r="D127" s="15" t="s">
        <v>19</v>
      </c>
      <c r="E127" s="15" t="s">
        <v>19</v>
      </c>
      <c r="F127" s="15" t="s">
        <v>19</v>
      </c>
      <c r="G127" s="15" t="s">
        <v>19</v>
      </c>
      <c r="H127" s="15" t="s">
        <v>19</v>
      </c>
      <c r="I127" s="15" t="n">
        <v>28</v>
      </c>
      <c r="J127" s="31" t="n">
        <f aca="false">IF(SUM(State_Quality_Summary!L127,State_Quality_Summary!N127)&gt;0, State_Quality_Summary!L127/SUM(State_Quality_Summary!L127,State_Quality_Summary!N127), 1)</f>
        <v>0.995599947199366</v>
      </c>
      <c r="K127" s="32" t="n">
        <v>0</v>
      </c>
      <c r="L127" s="32" t="n">
        <f aca="false">IF(SUM(State_Quality_Summary!L127,State_Quality_Summary!N127)&gt;0, State_Quality_Summary!N127/SUM(State_Quality_Summary!L127,State_Quality_Summary!N127), 0)</f>
        <v>0.00440005280063361</v>
      </c>
      <c r="M127" s="32" t="n">
        <v>0</v>
      </c>
      <c r="N127" s="13" t="str">
        <f aca="false">IF(L127&gt;0.05,"Poor Quality",IF(L127&gt;0.01,"Moderately Safe","Excellent"))</f>
        <v>Excellent</v>
      </c>
    </row>
    <row r="128" customFormat="false" ht="15" hidden="false" customHeight="true" outlineLevel="0" collapsed="false">
      <c r="A128" s="16" t="n">
        <v>2024</v>
      </c>
      <c r="B128" s="16" t="s">
        <v>213</v>
      </c>
      <c r="C128" s="16" t="s">
        <v>183</v>
      </c>
      <c r="D128" s="18" t="s">
        <v>19</v>
      </c>
      <c r="E128" s="18" t="s">
        <v>19</v>
      </c>
      <c r="F128" s="18" t="s">
        <v>19</v>
      </c>
      <c r="G128" s="18" t="s">
        <v>19</v>
      </c>
      <c r="H128" s="18" t="s">
        <v>19</v>
      </c>
      <c r="I128" s="18" t="n">
        <v>26</v>
      </c>
      <c r="J128" s="31" t="n">
        <f aca="false">IF(SUM(State_Quality_Summary!L128,State_Quality_Summary!N128)&gt;0, State_Quality_Summary!L128/SUM(State_Quality_Summary!L128,State_Quality_Summary!N128), 1)</f>
        <v>0.942891859052248</v>
      </c>
      <c r="K128" s="33" t="n">
        <v>0</v>
      </c>
      <c r="L128" s="33" t="n">
        <f aca="false">IF(SUM(State_Quality_Summary!L128,State_Quality_Summary!N128)&gt;0, State_Quality_Summary!N128/SUM(State_Quality_Summary!L128,State_Quality_Summary!N128), 0)</f>
        <v>0.0571081409477521</v>
      </c>
      <c r="M128" s="33" t="n">
        <v>0</v>
      </c>
      <c r="N128" s="16" t="str">
        <f aca="false">IF(L128&gt;0.05,"Poor Quality",IF(L128&gt;0.01,"Moderately Safe","Excellent"))</f>
        <v>Poor Quality</v>
      </c>
    </row>
    <row r="129" customFormat="false" ht="15" hidden="false" customHeight="true" outlineLevel="0" collapsed="false">
      <c r="A129" s="13" t="n">
        <v>2024</v>
      </c>
      <c r="B129" s="13" t="s">
        <v>215</v>
      </c>
      <c r="C129" s="13" t="s">
        <v>183</v>
      </c>
      <c r="D129" s="15" t="s">
        <v>19</v>
      </c>
      <c r="E129" s="15" t="s">
        <v>19</v>
      </c>
      <c r="F129" s="15" t="s">
        <v>19</v>
      </c>
      <c r="G129" s="15" t="s">
        <v>19</v>
      </c>
      <c r="H129" s="15" t="s">
        <v>19</v>
      </c>
      <c r="I129" s="15" t="n">
        <v>11</v>
      </c>
      <c r="J129" s="31" t="n">
        <f aca="false">IF(SUM(State_Quality_Summary!L129,State_Quality_Summary!N129)&gt;0, State_Quality_Summary!L129/SUM(State_Quality_Summary!L129,State_Quality_Summary!N129), 1)</f>
        <v>1</v>
      </c>
      <c r="K129" s="32" t="n">
        <v>0</v>
      </c>
      <c r="L129" s="32" t="n">
        <f aca="false">IF(SUM(State_Quality_Summary!L129,State_Quality_Summary!N129)&gt;0, State_Quality_Summary!N129/SUM(State_Quality_Summary!L129,State_Quality_Summary!N129), 0)</f>
        <v>0</v>
      </c>
      <c r="M129" s="32" t="n">
        <v>0</v>
      </c>
      <c r="N129" s="13" t="str">
        <f aca="false">IF(L129&gt;0.05,"Poor Quality",IF(L129&gt;0.01,"Moderately Safe","Excellent"))</f>
        <v>Excellent</v>
      </c>
    </row>
    <row r="130" customFormat="false" ht="15" hidden="false" customHeight="true" outlineLevel="0" collapsed="false">
      <c r="A130" s="16" t="n">
        <v>2024</v>
      </c>
      <c r="B130" s="16" t="s">
        <v>49</v>
      </c>
      <c r="C130" s="16" t="s">
        <v>50</v>
      </c>
      <c r="D130" s="18" t="n">
        <v>1357</v>
      </c>
      <c r="E130" s="18" t="s">
        <v>19</v>
      </c>
      <c r="F130" s="18" t="n">
        <v>268</v>
      </c>
      <c r="G130" s="18" t="s">
        <v>19</v>
      </c>
      <c r="H130" s="18" t="n">
        <v>3</v>
      </c>
      <c r="I130" s="18" t="n">
        <v>148</v>
      </c>
      <c r="J130" s="31" t="n">
        <f aca="false">IF(SUM(State_Quality_Summary!L130,State_Quality_Summary!N130)&gt;0, State_Quality_Summary!L130/SUM(State_Quality_Summary!L130,State_Quality_Summary!N130), 1)</f>
        <v>0.990100010102031</v>
      </c>
      <c r="K130" s="33" t="n">
        <v>0</v>
      </c>
      <c r="L130" s="33" t="n">
        <f aca="false">IF(SUM(State_Quality_Summary!L130,State_Quality_Summary!N130)&gt;0, State_Quality_Summary!N130/SUM(State_Quality_Summary!L130,State_Quality_Summary!N130), 0)</f>
        <v>0.00989998989796949</v>
      </c>
      <c r="M130" s="33" t="n">
        <v>0</v>
      </c>
      <c r="N130" s="16" t="str">
        <f aca="false">IF(L130&gt;0.05,"Poor Quality",IF(L130&gt;0.01,"Moderately Safe","Excellent"))</f>
        <v>Excellent</v>
      </c>
    </row>
    <row r="131" customFormat="false" ht="15" hidden="false" customHeight="true" outlineLevel="0" collapsed="false">
      <c r="A131" s="13" t="n">
        <v>2024</v>
      </c>
      <c r="B131" s="13" t="s">
        <v>217</v>
      </c>
      <c r="C131" s="13" t="s">
        <v>177</v>
      </c>
      <c r="D131" s="15" t="s">
        <v>19</v>
      </c>
      <c r="E131" s="15" t="s">
        <v>19</v>
      </c>
      <c r="F131" s="15" t="s">
        <v>19</v>
      </c>
      <c r="G131" s="15" t="s">
        <v>19</v>
      </c>
      <c r="H131" s="15" t="s">
        <v>19</v>
      </c>
      <c r="I131" s="15" t="n">
        <v>2</v>
      </c>
      <c r="J131" s="31" t="n">
        <f aca="false">IF(SUM(State_Quality_Summary!L131,State_Quality_Summary!N131)&gt;0, State_Quality_Summary!L131/SUM(State_Quality_Summary!L131,State_Quality_Summary!N131), 1)</f>
        <v>1</v>
      </c>
      <c r="K131" s="32" t="n">
        <v>0</v>
      </c>
      <c r="L131" s="32" t="n">
        <f aca="false">IF(SUM(State_Quality_Summary!L131,State_Quality_Summary!N131)&gt;0, State_Quality_Summary!N131/SUM(State_Quality_Summary!L131,State_Quality_Summary!N131), 0)</f>
        <v>0</v>
      </c>
      <c r="M131" s="32" t="n">
        <v>0</v>
      </c>
      <c r="N131" s="13" t="str">
        <f aca="false">IF(L131&gt;0.05,"Poor Quality",IF(L131&gt;0.01,"Moderately Safe","Excellent"))</f>
        <v>Excellent</v>
      </c>
    </row>
    <row r="132" customFormat="false" ht="15" hidden="false" customHeight="true" outlineLevel="0" collapsed="false">
      <c r="A132" s="16" t="n">
        <v>2024</v>
      </c>
      <c r="B132" s="16" t="s">
        <v>218</v>
      </c>
      <c r="C132" s="16" t="s">
        <v>39</v>
      </c>
      <c r="D132" s="18" t="s">
        <v>19</v>
      </c>
      <c r="E132" s="18" t="s">
        <v>19</v>
      </c>
      <c r="F132" s="18" t="s">
        <v>19</v>
      </c>
      <c r="G132" s="18" t="s">
        <v>19</v>
      </c>
      <c r="H132" s="18" t="s">
        <v>19</v>
      </c>
      <c r="I132" s="18" t="n">
        <v>31</v>
      </c>
      <c r="J132" s="31" t="n">
        <f aca="false">IF(SUM(State_Quality_Summary!L132,State_Quality_Summary!N132)&gt;0, State_Quality_Summary!L132/SUM(State_Quality_Summary!L132,State_Quality_Summary!N132), 1)</f>
        <v>0.989399968168073</v>
      </c>
      <c r="K132" s="33" t="n">
        <v>0</v>
      </c>
      <c r="L132" s="33" t="n">
        <f aca="false">IF(SUM(State_Quality_Summary!L132,State_Quality_Summary!N132)&gt;0, State_Quality_Summary!N132/SUM(State_Quality_Summary!L132,State_Quality_Summary!N132), 0)</f>
        <v>0.0106000318319274</v>
      </c>
      <c r="M132" s="33" t="n">
        <v>0</v>
      </c>
      <c r="N132" s="16" t="str">
        <f aca="false">IF(L132&gt;0.05,"Poor Quality",IF(L132&gt;0.01,"Moderately Safe","Excellent"))</f>
        <v>Moderately Safe</v>
      </c>
    </row>
    <row r="133" customFormat="false" ht="15" hidden="false" customHeight="true" outlineLevel="0" collapsed="false">
      <c r="A133" s="13" t="n">
        <v>2024</v>
      </c>
      <c r="B133" s="13" t="s">
        <v>114</v>
      </c>
      <c r="C133" s="13" t="s">
        <v>192</v>
      </c>
      <c r="D133" s="15" t="s">
        <v>19</v>
      </c>
      <c r="E133" s="15" t="s">
        <v>19</v>
      </c>
      <c r="F133" s="15" t="s">
        <v>19</v>
      </c>
      <c r="G133" s="15" t="s">
        <v>19</v>
      </c>
      <c r="H133" s="15" t="s">
        <v>19</v>
      </c>
      <c r="I133" s="15" t="n">
        <v>76</v>
      </c>
      <c r="J133" s="31" t="n">
        <f aca="false">IF(SUM(State_Quality_Summary!L133,State_Quality_Summary!N133)&gt;0, State_Quality_Summary!L133/SUM(State_Quality_Summary!L133,State_Quality_Summary!N133), 1)</f>
        <v>0.907298493250434</v>
      </c>
      <c r="K133" s="32" t="n">
        <v>0</v>
      </c>
      <c r="L133" s="32" t="n">
        <f aca="false">IF(SUM(State_Quality_Summary!L133,State_Quality_Summary!N133)&gt;0, State_Quality_Summary!N133/SUM(State_Quality_Summary!L133,State_Quality_Summary!N133), 0)</f>
        <v>0.0927015067495659</v>
      </c>
      <c r="M133" s="32" t="n">
        <v>0</v>
      </c>
      <c r="N133" s="13" t="str">
        <f aca="false">IF(L133&gt;0.05,"Poor Quality",IF(L133&gt;0.01,"Moderately Safe","Excellent"))</f>
        <v>Poor Quality</v>
      </c>
    </row>
    <row r="134" customFormat="false" ht="15" hidden="false" customHeight="true" outlineLevel="0" collapsed="false">
      <c r="A134" s="16" t="n">
        <v>2024</v>
      </c>
      <c r="B134" s="16" t="s">
        <v>221</v>
      </c>
      <c r="C134" s="16" t="s">
        <v>183</v>
      </c>
      <c r="D134" s="18" t="s">
        <v>19</v>
      </c>
      <c r="E134" s="18" t="s">
        <v>19</v>
      </c>
      <c r="F134" s="18" t="s">
        <v>19</v>
      </c>
      <c r="G134" s="18" t="s">
        <v>19</v>
      </c>
      <c r="H134" s="18" t="s">
        <v>19</v>
      </c>
      <c r="I134" s="18" t="n">
        <v>2</v>
      </c>
      <c r="J134" s="31" t="n">
        <f aca="false">IF(SUM(State_Quality_Summary!L134,State_Quality_Summary!N134)&gt;0, State_Quality_Summary!L134/SUM(State_Quality_Summary!L134,State_Quality_Summary!N134), 1)</f>
        <v>0.5</v>
      </c>
      <c r="K134" s="33" t="n">
        <v>0</v>
      </c>
      <c r="L134" s="33" t="n">
        <f aca="false">IF(SUM(State_Quality_Summary!L134,State_Quality_Summary!N134)&gt;0, State_Quality_Summary!N134/SUM(State_Quality_Summary!L134,State_Quality_Summary!N134), 0)</f>
        <v>0.5</v>
      </c>
      <c r="M134" s="33" t="n">
        <v>0</v>
      </c>
      <c r="N134" s="16" t="str">
        <f aca="false">IF(L134&gt;0.05,"Poor Quality",IF(L134&gt;0.01,"Moderately Safe","Excellent"))</f>
        <v>Poor Quality</v>
      </c>
    </row>
    <row r="135" customFormat="false" ht="15" hidden="false" customHeight="true" outlineLevel="0" collapsed="false">
      <c r="A135" s="13" t="n">
        <v>2024</v>
      </c>
      <c r="B135" s="13" t="s">
        <v>148</v>
      </c>
      <c r="C135" s="13" t="s">
        <v>180</v>
      </c>
      <c r="D135" s="15" t="s">
        <v>19</v>
      </c>
      <c r="E135" s="15" t="s">
        <v>19</v>
      </c>
      <c r="F135" s="15" t="s">
        <v>19</v>
      </c>
      <c r="G135" s="15" t="s">
        <v>19</v>
      </c>
      <c r="H135" s="15" t="s">
        <v>19</v>
      </c>
      <c r="I135" s="15" t="n">
        <v>106</v>
      </c>
      <c r="J135" s="31" t="n">
        <f aca="false">IF(SUM(State_Quality_Summary!L135,State_Quality_Summary!N135)&gt;0, State_Quality_Summary!L135/SUM(State_Quality_Summary!L135,State_Quality_Summary!N135), 1)</f>
        <v>0.9998</v>
      </c>
      <c r="K135" s="32" t="n">
        <v>0</v>
      </c>
      <c r="L135" s="32" t="n">
        <f aca="false">IF(SUM(State_Quality_Summary!L135,State_Quality_Summary!N135)&gt;0, State_Quality_Summary!N135/SUM(State_Quality_Summary!L135,State_Quality_Summary!N135), 0)</f>
        <v>0.0002</v>
      </c>
      <c r="M135" s="32" t="n">
        <v>0</v>
      </c>
      <c r="N135" s="13" t="str">
        <f aca="false">IF(L135&gt;0.05,"Poor Quality",IF(L135&gt;0.01,"Moderately Safe","Excellent"))</f>
        <v>Excellent</v>
      </c>
    </row>
    <row r="136" customFormat="false" ht="15" hidden="false" customHeight="true" outlineLevel="0" collapsed="false">
      <c r="A136" s="16" t="n">
        <v>2024</v>
      </c>
      <c r="B136" s="16" t="s">
        <v>108</v>
      </c>
      <c r="C136" s="16" t="s">
        <v>180</v>
      </c>
      <c r="D136" s="18" t="s">
        <v>19</v>
      </c>
      <c r="E136" s="18" t="s">
        <v>19</v>
      </c>
      <c r="F136" s="18" t="s">
        <v>19</v>
      </c>
      <c r="G136" s="18" t="s">
        <v>19</v>
      </c>
      <c r="H136" s="18" t="s">
        <v>19</v>
      </c>
      <c r="I136" s="18" t="n">
        <v>109</v>
      </c>
      <c r="J136" s="31" t="n">
        <f aca="false">IF(SUM(State_Quality_Summary!L136,State_Quality_Summary!N136)&gt;0, State_Quality_Summary!L136/SUM(State_Quality_Summary!L136,State_Quality_Summary!N136), 1)</f>
        <v>1</v>
      </c>
      <c r="K136" s="33" t="n">
        <v>0</v>
      </c>
      <c r="L136" s="33" t="n">
        <f aca="false">IF(SUM(State_Quality_Summary!L136,State_Quality_Summary!N136)&gt;0, State_Quality_Summary!N136/SUM(State_Quality_Summary!L136,State_Quality_Summary!N136), 0)</f>
        <v>0</v>
      </c>
      <c r="M136" s="33" t="n">
        <v>0</v>
      </c>
      <c r="N136" s="16" t="str">
        <f aca="false">IF(L136&gt;0.05,"Poor Quality",IF(L136&gt;0.01,"Moderately Safe","Excellent"))</f>
        <v>Excellent</v>
      </c>
    </row>
    <row r="137" customFormat="false" ht="15" hidden="false" customHeight="true" outlineLevel="0" collapsed="false">
      <c r="A137" s="13" t="n">
        <v>2024</v>
      </c>
      <c r="B137" s="13" t="s">
        <v>223</v>
      </c>
      <c r="C137" s="13" t="s">
        <v>183</v>
      </c>
      <c r="D137" s="15" t="s">
        <v>19</v>
      </c>
      <c r="E137" s="15" t="s">
        <v>19</v>
      </c>
      <c r="F137" s="15" t="s">
        <v>19</v>
      </c>
      <c r="G137" s="15" t="s">
        <v>19</v>
      </c>
      <c r="H137" s="15" t="s">
        <v>19</v>
      </c>
      <c r="I137" s="15" t="n">
        <v>20</v>
      </c>
      <c r="J137" s="31" t="n">
        <f aca="false">IF(SUM(State_Quality_Summary!L137,State_Quality_Summary!N137)&gt;0, State_Quality_Summary!L137/SUM(State_Quality_Summary!L137,State_Quality_Summary!N137), 1)</f>
        <v>0.999</v>
      </c>
      <c r="K137" s="32" t="n">
        <v>0</v>
      </c>
      <c r="L137" s="32" t="n">
        <f aca="false">IF(SUM(State_Quality_Summary!L137,State_Quality_Summary!N137)&gt;0, State_Quality_Summary!N137/SUM(State_Quality_Summary!L137,State_Quality_Summary!N137), 0)</f>
        <v>0.001</v>
      </c>
      <c r="M137" s="32" t="n">
        <v>0</v>
      </c>
      <c r="N137" s="13" t="str">
        <f aca="false">IF(L137&gt;0.05,"Poor Quality",IF(L137&gt;0.01,"Moderately Safe","Excellent"))</f>
        <v>Excellent</v>
      </c>
    </row>
    <row r="138" customFormat="false" ht="15" hidden="false" customHeight="true" outlineLevel="0" collapsed="false">
      <c r="A138" s="16" t="n">
        <v>2024</v>
      </c>
      <c r="B138" s="16" t="s">
        <v>67</v>
      </c>
      <c r="C138" s="16" t="s">
        <v>39</v>
      </c>
      <c r="D138" s="18" t="n">
        <v>22</v>
      </c>
      <c r="E138" s="18" t="s">
        <v>19</v>
      </c>
      <c r="F138" s="18" t="n">
        <v>8</v>
      </c>
      <c r="G138" s="18" t="s">
        <v>19</v>
      </c>
      <c r="H138" s="18" t="n">
        <v>14</v>
      </c>
      <c r="I138" s="18" t="n">
        <v>134</v>
      </c>
      <c r="J138" s="31" t="n">
        <f aca="false">IF(SUM(State_Quality_Summary!L138,State_Quality_Summary!N138)&gt;0, State_Quality_Summary!L138/SUM(State_Quality_Summary!L138,State_Quality_Summary!N138), 1)</f>
        <v>0.991699991542932</v>
      </c>
      <c r="K138" s="33" t="n">
        <v>0</v>
      </c>
      <c r="L138" s="33" t="n">
        <f aca="false">IF(SUM(State_Quality_Summary!L138,State_Quality_Summary!N138)&gt;0, State_Quality_Summary!N138/SUM(State_Quality_Summary!L138,State_Quality_Summary!N138), 0)</f>
        <v>0.0083000084570683</v>
      </c>
      <c r="M138" s="33" t="n">
        <v>0</v>
      </c>
      <c r="N138" s="16" t="str">
        <f aca="false">IF(L138&gt;0.05,"Poor Quality",IF(L138&gt;0.01,"Moderately Safe","Excellent"))</f>
        <v>Excellent</v>
      </c>
    </row>
    <row r="139" customFormat="false" ht="15" hidden="false" customHeight="true" outlineLevel="0" collapsed="false">
      <c r="A139" s="13" t="n">
        <v>2024</v>
      </c>
      <c r="B139" s="13" t="s">
        <v>62</v>
      </c>
      <c r="C139" s="13" t="s">
        <v>39</v>
      </c>
      <c r="D139" s="15" t="s">
        <v>19</v>
      </c>
      <c r="E139" s="15" t="s">
        <v>19</v>
      </c>
      <c r="F139" s="15" t="s">
        <v>19</v>
      </c>
      <c r="G139" s="15" t="s">
        <v>19</v>
      </c>
      <c r="H139" s="15" t="s">
        <v>19</v>
      </c>
      <c r="I139" s="15" t="n">
        <v>26</v>
      </c>
      <c r="J139" s="31" t="n">
        <f aca="false">IF(SUM(State_Quality_Summary!L139,State_Quality_Summary!N139)&gt;0, State_Quality_Summary!L139/SUM(State_Quality_Summary!L139,State_Quality_Summary!N139), 1)</f>
        <v>0.987600009668608</v>
      </c>
      <c r="K139" s="32" t="n">
        <v>0</v>
      </c>
      <c r="L139" s="32" t="n">
        <f aca="false">IF(SUM(State_Quality_Summary!L139,State_Quality_Summary!N139)&gt;0, State_Quality_Summary!N139/SUM(State_Quality_Summary!L139,State_Quality_Summary!N139), 0)</f>
        <v>0.0123999903313916</v>
      </c>
      <c r="M139" s="32" t="n">
        <v>0</v>
      </c>
      <c r="N139" s="13" t="str">
        <f aca="false">IF(L139&gt;0.05,"Poor Quality",IF(L139&gt;0.01,"Moderately Safe","Excellent"))</f>
        <v>Moderately Safe</v>
      </c>
    </row>
    <row r="140" customFormat="false" ht="15" hidden="false" customHeight="true" outlineLevel="0" collapsed="false">
      <c r="A140" s="16" t="n">
        <v>2024</v>
      </c>
      <c r="B140" s="16" t="s">
        <v>73</v>
      </c>
      <c r="C140" s="16" t="s">
        <v>50</v>
      </c>
      <c r="D140" s="18" t="s">
        <v>19</v>
      </c>
      <c r="E140" s="18" t="s">
        <v>19</v>
      </c>
      <c r="F140" s="18" t="s">
        <v>19</v>
      </c>
      <c r="G140" s="18" t="s">
        <v>19</v>
      </c>
      <c r="H140" s="18" t="s">
        <v>19</v>
      </c>
      <c r="I140" s="18" t="n">
        <v>229</v>
      </c>
      <c r="J140" s="31" t="n">
        <f aca="false">IF(SUM(State_Quality_Summary!L140,State_Quality_Summary!N140)&gt;0, State_Quality_Summary!L140/SUM(State_Quality_Summary!L140,State_Quality_Summary!N140), 1)</f>
        <v>0.811300158096815</v>
      </c>
      <c r="K140" s="33" t="n">
        <v>0</v>
      </c>
      <c r="L140" s="33" t="n">
        <f aca="false">IF(SUM(State_Quality_Summary!L140,State_Quality_Summary!N140)&gt;0, State_Quality_Summary!N140/SUM(State_Quality_Summary!L140,State_Quality_Summary!N140), 0)</f>
        <v>0.188699841903185</v>
      </c>
      <c r="M140" s="33" t="n">
        <v>0</v>
      </c>
      <c r="N140" s="16" t="str">
        <f aca="false">IF(L140&gt;0.05,"Poor Quality",IF(L140&gt;0.01,"Moderately Safe","Excellent"))</f>
        <v>Poor Quality</v>
      </c>
    </row>
    <row r="141" customFormat="false" ht="15" hidden="false" customHeight="true" outlineLevel="0" collapsed="false">
      <c r="A141" s="13" t="n">
        <v>2025</v>
      </c>
      <c r="B141" s="13" t="s">
        <v>176</v>
      </c>
      <c r="C141" s="13" t="s">
        <v>177</v>
      </c>
      <c r="D141" s="15" t="s">
        <v>19</v>
      </c>
      <c r="E141" s="15" t="s">
        <v>19</v>
      </c>
      <c r="F141" s="15" t="s">
        <v>19</v>
      </c>
      <c r="G141" s="15" t="s">
        <v>19</v>
      </c>
      <c r="H141" s="15" t="s">
        <v>19</v>
      </c>
      <c r="I141" s="15" t="n">
        <v>11</v>
      </c>
      <c r="J141" s="31" t="n">
        <f aca="false">IF(SUM(State_Quality_Summary!L141,State_Quality_Summary!N141)&gt;0, State_Quality_Summary!L141/SUM(State_Quality_Summary!L141,State_Quality_Summary!N141), 1)</f>
        <v>0.997599039615846</v>
      </c>
      <c r="K141" s="32" t="n">
        <v>0</v>
      </c>
      <c r="L141" s="32" t="n">
        <f aca="false">IF(SUM(State_Quality_Summary!L141,State_Quality_Summary!N141)&gt;0, State_Quality_Summary!N141/SUM(State_Quality_Summary!L141,State_Quality_Summary!N141), 0)</f>
        <v>0.00240096038415366</v>
      </c>
      <c r="M141" s="32" t="n">
        <v>0</v>
      </c>
      <c r="N141" s="13" t="str">
        <f aca="false">IF(L141&gt;0.05,"Poor Quality",IF(L141&gt;0.01,"Moderately Safe","Excellent"))</f>
        <v>Excellent</v>
      </c>
    </row>
    <row r="142" customFormat="false" ht="15" hidden="false" customHeight="true" outlineLevel="0" collapsed="false">
      <c r="A142" s="16" t="n">
        <v>2025</v>
      </c>
      <c r="B142" s="16" t="s">
        <v>13</v>
      </c>
      <c r="C142" s="16" t="s">
        <v>180</v>
      </c>
      <c r="D142" s="18" t="n">
        <v>115</v>
      </c>
      <c r="E142" s="18" t="s">
        <v>19</v>
      </c>
      <c r="F142" s="18" t="n">
        <v>4</v>
      </c>
      <c r="G142" s="18" t="s">
        <v>19</v>
      </c>
      <c r="H142" s="18" t="n">
        <v>115</v>
      </c>
      <c r="I142" s="18" t="n">
        <v>137</v>
      </c>
      <c r="J142" s="31" t="n">
        <f aca="false">IF(SUM(State_Quality_Summary!L142,State_Quality_Summary!N142)&gt;0, State_Quality_Summary!L142/SUM(State_Quality_Summary!L142,State_Quality_Summary!N142), 1)</f>
        <v>1</v>
      </c>
      <c r="K142" s="33" t="n">
        <v>0</v>
      </c>
      <c r="L142" s="33" t="n">
        <f aca="false">IF(SUM(State_Quality_Summary!L142,State_Quality_Summary!N142)&gt;0, State_Quality_Summary!N142/SUM(State_Quality_Summary!L142,State_Quality_Summary!N142), 0)</f>
        <v>0</v>
      </c>
      <c r="M142" s="33" t="n">
        <v>0</v>
      </c>
      <c r="N142" s="16" t="str">
        <f aca="false">IF(L142&gt;0.05,"Poor Quality",IF(L142&gt;0.01,"Moderately Safe","Excellent"))</f>
        <v>Excellent</v>
      </c>
    </row>
    <row r="143" customFormat="false" ht="15" hidden="false" customHeight="true" outlineLevel="0" collapsed="false">
      <c r="A143" s="13" t="n">
        <v>2025</v>
      </c>
      <c r="B143" s="13" t="s">
        <v>182</v>
      </c>
      <c r="C143" s="13" t="s">
        <v>183</v>
      </c>
      <c r="D143" s="15" t="s">
        <v>19</v>
      </c>
      <c r="E143" s="15" t="s">
        <v>19</v>
      </c>
      <c r="F143" s="15" t="s">
        <v>19</v>
      </c>
      <c r="G143" s="15" t="s">
        <v>19</v>
      </c>
      <c r="H143" s="15" t="s">
        <v>19</v>
      </c>
      <c r="I143" s="15" t="n">
        <v>37</v>
      </c>
      <c r="J143" s="31" t="n">
        <f aca="false">IF(SUM(State_Quality_Summary!L143,State_Quality_Summary!N143)&gt;0, State_Quality_Summary!L143/SUM(State_Quality_Summary!L143,State_Quality_Summary!N143), 1)</f>
        <v>1</v>
      </c>
      <c r="K143" s="32" t="n">
        <v>0</v>
      </c>
      <c r="L143" s="32" t="n">
        <f aca="false">IF(SUM(State_Quality_Summary!L143,State_Quality_Summary!N143)&gt;0, State_Quality_Summary!N143/SUM(State_Quality_Summary!L143,State_Quality_Summary!N143), 0)</f>
        <v>0</v>
      </c>
      <c r="M143" s="32" t="n">
        <v>0</v>
      </c>
      <c r="N143" s="13" t="str">
        <f aca="false">IF(L143&gt;0.05,"Poor Quality",IF(L143&gt;0.01,"Moderately Safe","Excellent"))</f>
        <v>Excellent</v>
      </c>
    </row>
    <row r="144" customFormat="false" ht="15" hidden="false" customHeight="true" outlineLevel="0" collapsed="false">
      <c r="A144" s="16" t="n">
        <v>2025</v>
      </c>
      <c r="B144" s="16" t="s">
        <v>184</v>
      </c>
      <c r="C144" s="16" t="s">
        <v>183</v>
      </c>
      <c r="D144" s="18" t="s">
        <v>19</v>
      </c>
      <c r="E144" s="18" t="s">
        <v>19</v>
      </c>
      <c r="F144" s="18" t="s">
        <v>19</v>
      </c>
      <c r="G144" s="18" t="s">
        <v>19</v>
      </c>
      <c r="H144" s="18" t="s">
        <v>19</v>
      </c>
      <c r="I144" s="18" t="n">
        <v>83</v>
      </c>
      <c r="J144" s="31" t="n">
        <f aca="false">IF(SUM(State_Quality_Summary!L144,State_Quality_Summary!N144)&gt;0, State_Quality_Summary!L144/SUM(State_Quality_Summary!L144,State_Quality_Summary!N144), 1)</f>
        <v>0.991799965351966</v>
      </c>
      <c r="K144" s="33" t="n">
        <v>0</v>
      </c>
      <c r="L144" s="33" t="n">
        <f aca="false">IF(SUM(State_Quality_Summary!L144,State_Quality_Summary!N144)&gt;0, State_Quality_Summary!N144/SUM(State_Quality_Summary!L144,State_Quality_Summary!N144), 0)</f>
        <v>0.00820003464803372</v>
      </c>
      <c r="M144" s="33" t="n">
        <v>0</v>
      </c>
      <c r="N144" s="16" t="str">
        <f aca="false">IF(L144&gt;0.05,"Poor Quality",IF(L144&gt;0.01,"Moderately Safe","Excellent"))</f>
        <v>Excellent</v>
      </c>
    </row>
    <row r="145" customFormat="false" ht="15" hidden="false" customHeight="true" outlineLevel="0" collapsed="false">
      <c r="A145" s="13" t="n">
        <v>2025</v>
      </c>
      <c r="B145" s="13" t="s">
        <v>69</v>
      </c>
      <c r="C145" s="13" t="s">
        <v>50</v>
      </c>
      <c r="D145" s="15" t="s">
        <v>19</v>
      </c>
      <c r="E145" s="15" t="s">
        <v>19</v>
      </c>
      <c r="F145" s="15" t="s">
        <v>19</v>
      </c>
      <c r="G145" s="15" t="s">
        <v>19</v>
      </c>
      <c r="H145" s="15" t="s">
        <v>19</v>
      </c>
      <c r="I145" s="15" t="n">
        <v>120</v>
      </c>
      <c r="J145" s="31" t="n">
        <f aca="false">IF(SUM(State_Quality_Summary!L145,State_Quality_Summary!N145)&gt;0, State_Quality_Summary!L145/SUM(State_Quality_Summary!L145,State_Quality_Summary!N145), 1)</f>
        <v>0.9998</v>
      </c>
      <c r="K145" s="32" t="n">
        <v>0</v>
      </c>
      <c r="L145" s="32" t="n">
        <f aca="false">IF(SUM(State_Quality_Summary!L145,State_Quality_Summary!N145)&gt;0, State_Quality_Summary!N145/SUM(State_Quality_Summary!L145,State_Quality_Summary!N145), 0)</f>
        <v>0.0002</v>
      </c>
      <c r="M145" s="32" t="n">
        <v>0</v>
      </c>
      <c r="N145" s="13" t="str">
        <f aca="false">IF(L145&gt;0.05,"Poor Quality",IF(L145&gt;0.01,"Moderately Safe","Excellent"))</f>
        <v>Excellent</v>
      </c>
    </row>
    <row r="146" customFormat="false" ht="15" hidden="false" customHeight="true" outlineLevel="0" collapsed="false">
      <c r="A146" s="16" t="n">
        <v>2025</v>
      </c>
      <c r="B146" s="16" t="s">
        <v>187</v>
      </c>
      <c r="C146" s="16" t="s">
        <v>188</v>
      </c>
      <c r="D146" s="18" t="s">
        <v>19</v>
      </c>
      <c r="E146" s="18" t="s">
        <v>19</v>
      </c>
      <c r="F146" s="18" t="s">
        <v>19</v>
      </c>
      <c r="G146" s="18" t="s">
        <v>19</v>
      </c>
      <c r="H146" s="18" t="s">
        <v>19</v>
      </c>
      <c r="I146" s="18" t="n">
        <v>79</v>
      </c>
      <c r="J146" s="31" t="n">
        <f aca="false">IF(SUM(State_Quality_Summary!L146,State_Quality_Summary!N146)&gt;0, State_Quality_Summary!L146/SUM(State_Quality_Summary!L146,State_Quality_Summary!N146), 1)</f>
        <v>0.9992</v>
      </c>
      <c r="K146" s="33" t="n">
        <v>0</v>
      </c>
      <c r="L146" s="33" t="n">
        <f aca="false">IF(SUM(State_Quality_Summary!L146,State_Quality_Summary!N146)&gt;0, State_Quality_Summary!N146/SUM(State_Quality_Summary!L146,State_Quality_Summary!N146), 0)</f>
        <v>0.0008</v>
      </c>
      <c r="M146" s="33" t="n">
        <v>0</v>
      </c>
      <c r="N146" s="16" t="str">
        <f aca="false">IF(L146&gt;0.05,"Poor Quality",IF(L146&gt;0.01,"Moderately Safe","Excellent"))</f>
        <v>Excellent</v>
      </c>
    </row>
    <row r="147" customFormat="false" ht="15" hidden="false" customHeight="true" outlineLevel="0" collapsed="false">
      <c r="A147" s="13" t="n">
        <v>2025</v>
      </c>
      <c r="B147" s="13" t="s">
        <v>190</v>
      </c>
      <c r="C147" s="13" t="s">
        <v>177</v>
      </c>
      <c r="D147" s="15" t="s">
        <v>19</v>
      </c>
      <c r="E147" s="15" t="s">
        <v>19</v>
      </c>
      <c r="F147" s="15" t="s">
        <v>19</v>
      </c>
      <c r="G147" s="15" t="s">
        <v>19</v>
      </c>
      <c r="H147" s="15" t="s">
        <v>19</v>
      </c>
      <c r="I147" s="15" t="n">
        <v>2</v>
      </c>
      <c r="J147" s="31" t="n">
        <f aca="false">IF(SUM(State_Quality_Summary!L147,State_Quality_Summary!N147)&gt;0, State_Quality_Summary!L147/SUM(State_Quality_Summary!L147,State_Quality_Summary!N147), 1)</f>
        <v>1</v>
      </c>
      <c r="K147" s="32" t="n">
        <v>0</v>
      </c>
      <c r="L147" s="32" t="n">
        <f aca="false">IF(SUM(State_Quality_Summary!L147,State_Quality_Summary!N147)&gt;0, State_Quality_Summary!N147/SUM(State_Quality_Summary!L147,State_Quality_Summary!N147), 0)</f>
        <v>0</v>
      </c>
      <c r="M147" s="32" t="n">
        <v>0</v>
      </c>
      <c r="N147" s="13" t="str">
        <f aca="false">IF(L147&gt;0.05,"Poor Quality",IF(L147&gt;0.01,"Moderately Safe","Excellent"))</f>
        <v>Excellent</v>
      </c>
    </row>
    <row r="148" customFormat="false" ht="15" hidden="false" customHeight="true" outlineLevel="0" collapsed="false">
      <c r="A148" s="16" t="n">
        <v>2025</v>
      </c>
      <c r="B148" s="16" t="s">
        <v>191</v>
      </c>
      <c r="C148" s="16" t="s">
        <v>192</v>
      </c>
      <c r="D148" s="18" t="n">
        <v>3</v>
      </c>
      <c r="E148" s="18" t="s">
        <v>19</v>
      </c>
      <c r="F148" s="18" t="s">
        <v>19</v>
      </c>
      <c r="G148" s="18" t="s">
        <v>19</v>
      </c>
      <c r="H148" s="18" t="n">
        <v>3</v>
      </c>
      <c r="I148" s="18" t="n">
        <v>24</v>
      </c>
      <c r="J148" s="31" t="n">
        <f aca="false">IF(SUM(State_Quality_Summary!L148,State_Quality_Summary!N148)&gt;0, State_Quality_Summary!L148/SUM(State_Quality_Summary!L148,State_Quality_Summary!N148), 1)</f>
        <v>0.994</v>
      </c>
      <c r="K148" s="33" t="n">
        <v>0</v>
      </c>
      <c r="L148" s="33" t="n">
        <f aca="false">IF(SUM(State_Quality_Summary!L148,State_Quality_Summary!N148)&gt;0, State_Quality_Summary!N148/SUM(State_Quality_Summary!L148,State_Quality_Summary!N148), 0)</f>
        <v>0.006</v>
      </c>
      <c r="M148" s="33" t="n">
        <v>0</v>
      </c>
      <c r="N148" s="16" t="str">
        <f aca="false">IF(L148&gt;0.05,"Poor Quality",IF(L148&gt;0.01,"Moderately Safe","Excellent"))</f>
        <v>Excellent</v>
      </c>
    </row>
    <row r="149" customFormat="false" ht="15" hidden="false" customHeight="true" outlineLevel="0" collapsed="false">
      <c r="A149" s="13" t="n">
        <v>2025</v>
      </c>
      <c r="B149" s="13" t="s">
        <v>194</v>
      </c>
      <c r="C149" s="13" t="s">
        <v>192</v>
      </c>
      <c r="D149" s="15" t="s">
        <v>19</v>
      </c>
      <c r="E149" s="15" t="s">
        <v>19</v>
      </c>
      <c r="F149" s="15" t="s">
        <v>19</v>
      </c>
      <c r="G149" s="15" t="s">
        <v>19</v>
      </c>
      <c r="H149" s="15" t="s">
        <v>19</v>
      </c>
      <c r="I149" s="15" t="n">
        <v>409</v>
      </c>
      <c r="J149" s="31" t="n">
        <f aca="false">IF(SUM(State_Quality_Summary!L149,State_Quality_Summary!N149)&gt;0, State_Quality_Summary!L149/SUM(State_Quality_Summary!L149,State_Quality_Summary!N149), 1)</f>
        <v>0.9968</v>
      </c>
      <c r="K149" s="32" t="n">
        <v>0</v>
      </c>
      <c r="L149" s="32" t="n">
        <f aca="false">IF(SUM(State_Quality_Summary!L149,State_Quality_Summary!N149)&gt;0, State_Quality_Summary!N149/SUM(State_Quality_Summary!L149,State_Quality_Summary!N149), 0)</f>
        <v>0.0032</v>
      </c>
      <c r="M149" s="32" t="n">
        <v>0</v>
      </c>
      <c r="N149" s="13" t="str">
        <f aca="false">IF(L149&gt;0.05,"Poor Quality",IF(L149&gt;0.01,"Moderately Safe","Excellent"))</f>
        <v>Excellent</v>
      </c>
    </row>
    <row r="150" customFormat="false" ht="15" hidden="false" customHeight="true" outlineLevel="0" collapsed="false">
      <c r="A150" s="16" t="n">
        <v>2025</v>
      </c>
      <c r="B150" s="16" t="s">
        <v>38</v>
      </c>
      <c r="C150" s="16" t="s">
        <v>39</v>
      </c>
      <c r="D150" s="18" t="n">
        <v>40822</v>
      </c>
      <c r="E150" s="18" t="n">
        <v>40822</v>
      </c>
      <c r="F150" s="18" t="n">
        <v>1</v>
      </c>
      <c r="G150" s="18" t="s">
        <v>19</v>
      </c>
      <c r="H150" s="18" t="s">
        <v>19</v>
      </c>
      <c r="I150" s="18" t="n">
        <v>43</v>
      </c>
      <c r="J150" s="31" t="n">
        <f aca="false">IF(SUM(State_Quality_Summary!L150,State_Quality_Summary!N150)&gt;0, State_Quality_Summary!L150/SUM(State_Quality_Summary!L150,State_Quality_Summary!N150), 1)</f>
        <v>0.921899879606975</v>
      </c>
      <c r="K150" s="33" t="n">
        <v>0</v>
      </c>
      <c r="L150" s="33" t="n">
        <f aca="false">IF(SUM(State_Quality_Summary!L150,State_Quality_Summary!N150)&gt;0, State_Quality_Summary!N150/SUM(State_Quality_Summary!L150,State_Quality_Summary!N150), 0)</f>
        <v>0.078100120393025</v>
      </c>
      <c r="M150" s="33" t="n">
        <v>0</v>
      </c>
      <c r="N150" s="16" t="str">
        <f aca="false">IF(L150&gt;0.05,"Poor Quality",IF(L150&gt;0.01,"Moderately Safe","Excellent"))</f>
        <v>Poor Quality</v>
      </c>
    </row>
    <row r="151" customFormat="false" ht="15" hidden="false" customHeight="true" outlineLevel="0" collapsed="false">
      <c r="A151" s="13" t="n">
        <v>2025</v>
      </c>
      <c r="B151" s="13" t="s">
        <v>197</v>
      </c>
      <c r="C151" s="13" t="s">
        <v>39</v>
      </c>
      <c r="D151" s="15" t="s">
        <v>19</v>
      </c>
      <c r="E151" s="15" t="s">
        <v>19</v>
      </c>
      <c r="F151" s="15" t="s">
        <v>19</v>
      </c>
      <c r="G151" s="15" t="s">
        <v>19</v>
      </c>
      <c r="H151" s="15" t="s">
        <v>19</v>
      </c>
      <c r="I151" s="15" t="n">
        <v>83</v>
      </c>
      <c r="J151" s="31" t="n">
        <f aca="false">IF(SUM(State_Quality_Summary!L151,State_Quality_Summary!N151)&gt;0, State_Quality_Summary!L151/SUM(State_Quality_Summary!L151,State_Quality_Summary!N151), 1)</f>
        <v>1</v>
      </c>
      <c r="K151" s="32" t="n">
        <v>0</v>
      </c>
      <c r="L151" s="32" t="n">
        <f aca="false">IF(SUM(State_Quality_Summary!L151,State_Quality_Summary!N151)&gt;0, State_Quality_Summary!N151/SUM(State_Quality_Summary!L151,State_Quality_Summary!N151), 0)</f>
        <v>0</v>
      </c>
      <c r="M151" s="32" t="n">
        <v>0</v>
      </c>
      <c r="N151" s="13" t="str">
        <f aca="false">IF(L151&gt;0.05,"Poor Quality",IF(L151&gt;0.01,"Moderately Safe","Excellent"))</f>
        <v>Excellent</v>
      </c>
    </row>
    <row r="152" customFormat="false" ht="15" hidden="false" customHeight="true" outlineLevel="0" collapsed="false">
      <c r="A152" s="16" t="n">
        <v>2025</v>
      </c>
      <c r="B152" s="16" t="s">
        <v>141</v>
      </c>
      <c r="C152" s="16" t="s">
        <v>39</v>
      </c>
      <c r="D152" s="18" t="s">
        <v>19</v>
      </c>
      <c r="E152" s="18" t="s">
        <v>19</v>
      </c>
      <c r="F152" s="18" t="s">
        <v>19</v>
      </c>
      <c r="G152" s="18" t="s">
        <v>19</v>
      </c>
      <c r="H152" s="18" t="s">
        <v>19</v>
      </c>
      <c r="I152" s="18" t="n">
        <v>95</v>
      </c>
      <c r="J152" s="31" t="n">
        <f aca="false">IF(SUM(State_Quality_Summary!L152,State_Quality_Summary!N152)&gt;0, State_Quality_Summary!L152/SUM(State_Quality_Summary!L152,State_Quality_Summary!N152), 1)</f>
        <v>0.9991</v>
      </c>
      <c r="K152" s="33" t="n">
        <v>0</v>
      </c>
      <c r="L152" s="33" t="n">
        <f aca="false">IF(SUM(State_Quality_Summary!L152,State_Quality_Summary!N152)&gt;0, State_Quality_Summary!N152/SUM(State_Quality_Summary!L152,State_Quality_Summary!N152), 0)</f>
        <v>0.0009</v>
      </c>
      <c r="M152" s="33" t="n">
        <v>0</v>
      </c>
      <c r="N152" s="16" t="str">
        <f aca="false">IF(L152&gt;0.05,"Poor Quality",IF(L152&gt;0.01,"Moderately Safe","Excellent"))</f>
        <v>Excellent</v>
      </c>
    </row>
    <row r="153" customFormat="false" ht="15" hidden="false" customHeight="true" outlineLevel="0" collapsed="false">
      <c r="A153" s="13" t="n">
        <v>2025</v>
      </c>
      <c r="B153" s="13" t="s">
        <v>71</v>
      </c>
      <c r="C153" s="13" t="s">
        <v>50</v>
      </c>
      <c r="D153" s="15" t="s">
        <v>19</v>
      </c>
      <c r="E153" s="15" t="s">
        <v>19</v>
      </c>
      <c r="F153" s="15" t="s">
        <v>19</v>
      </c>
      <c r="G153" s="15" t="s">
        <v>19</v>
      </c>
      <c r="H153" s="15" t="s">
        <v>19</v>
      </c>
      <c r="I153" s="15" t="n">
        <v>38</v>
      </c>
      <c r="J153" s="31" t="n">
        <f aca="false">IF(SUM(State_Quality_Summary!L153,State_Quality_Summary!N153)&gt;0, State_Quality_Summary!L153/SUM(State_Quality_Summary!L153,State_Quality_Summary!N153), 1)</f>
        <v>0.9998</v>
      </c>
      <c r="K153" s="32" t="n">
        <v>0</v>
      </c>
      <c r="L153" s="32" t="n">
        <f aca="false">IF(SUM(State_Quality_Summary!L153,State_Quality_Summary!N153)&gt;0, State_Quality_Summary!N153/SUM(State_Quality_Summary!L153,State_Quality_Summary!N153), 0)</f>
        <v>0.0002</v>
      </c>
      <c r="M153" s="32" t="n">
        <v>0</v>
      </c>
      <c r="N153" s="13" t="str">
        <f aca="false">IF(L153&gt;0.05,"Poor Quality",IF(L153&gt;0.01,"Moderately Safe","Excellent"))</f>
        <v>Excellent</v>
      </c>
    </row>
    <row r="154" customFormat="false" ht="15" hidden="false" customHeight="true" outlineLevel="0" collapsed="false">
      <c r="A154" s="16" t="n">
        <v>2025</v>
      </c>
      <c r="B154" s="16" t="s">
        <v>111</v>
      </c>
      <c r="C154" s="16" t="s">
        <v>180</v>
      </c>
      <c r="D154" s="18" t="n">
        <v>11</v>
      </c>
      <c r="E154" s="18" t="s">
        <v>19</v>
      </c>
      <c r="F154" s="18" t="n">
        <v>1</v>
      </c>
      <c r="G154" s="18" t="s">
        <v>19</v>
      </c>
      <c r="H154" s="18" t="n">
        <v>11</v>
      </c>
      <c r="I154" s="18" t="n">
        <v>102</v>
      </c>
      <c r="J154" s="31" t="n">
        <f aca="false">IF(SUM(State_Quality_Summary!L154,State_Quality_Summary!N154)&gt;0, State_Quality_Summary!L154/SUM(State_Quality_Summary!L154,State_Quality_Summary!N154), 1)</f>
        <v>0.957799968352058</v>
      </c>
      <c r="K154" s="33" t="n">
        <v>0</v>
      </c>
      <c r="L154" s="33" t="n">
        <f aca="false">IF(SUM(State_Quality_Summary!L154,State_Quality_Summary!N154)&gt;0, State_Quality_Summary!N154/SUM(State_Quality_Summary!L154,State_Quality_Summary!N154), 0)</f>
        <v>0.0422000316479416</v>
      </c>
      <c r="M154" s="33" t="n">
        <v>0</v>
      </c>
      <c r="N154" s="16" t="str">
        <f aca="false">IF(L154&gt;0.05,"Poor Quality",IF(L154&gt;0.01,"Moderately Safe","Excellent"))</f>
        <v>Moderately Safe</v>
      </c>
    </row>
    <row r="155" customFormat="false" ht="15" hidden="false" customHeight="true" outlineLevel="0" collapsed="false">
      <c r="A155" s="13" t="n">
        <v>2025</v>
      </c>
      <c r="B155" s="13" t="s">
        <v>200</v>
      </c>
      <c r="C155" s="13" t="s">
        <v>180</v>
      </c>
      <c r="D155" s="15" t="s">
        <v>19</v>
      </c>
      <c r="E155" s="15" t="s">
        <v>19</v>
      </c>
      <c r="F155" s="15" t="s">
        <v>19</v>
      </c>
      <c r="G155" s="15" t="s">
        <v>19</v>
      </c>
      <c r="H155" s="15" t="s">
        <v>19</v>
      </c>
      <c r="I155" s="15" t="n">
        <v>92</v>
      </c>
      <c r="J155" s="31" t="n">
        <f aca="false">IF(SUM(State_Quality_Summary!L155,State_Quality_Summary!N155)&gt;0, State_Quality_Summary!L155/SUM(State_Quality_Summary!L155,State_Quality_Summary!N155), 1)</f>
        <v>0.896900202117228</v>
      </c>
      <c r="K155" s="32" t="n">
        <v>0</v>
      </c>
      <c r="L155" s="32" t="n">
        <f aca="false">IF(SUM(State_Quality_Summary!L155,State_Quality_Summary!N155)&gt;0, State_Quality_Summary!N155/SUM(State_Quality_Summary!L155,State_Quality_Summary!N155), 0)</f>
        <v>0.103099797882772</v>
      </c>
      <c r="M155" s="32" t="n">
        <v>0</v>
      </c>
      <c r="N155" s="13" t="str">
        <f aca="false">IF(L155&gt;0.05,"Poor Quality",IF(L155&gt;0.01,"Moderately Safe","Excellent"))</f>
        <v>Poor Quality</v>
      </c>
    </row>
    <row r="156" customFormat="false" ht="15" hidden="false" customHeight="true" outlineLevel="0" collapsed="false">
      <c r="A156" s="16" t="n">
        <v>2025</v>
      </c>
      <c r="B156" s="16" t="s">
        <v>202</v>
      </c>
      <c r="C156" s="16" t="s">
        <v>177</v>
      </c>
      <c r="D156" s="18" t="s">
        <v>19</v>
      </c>
      <c r="E156" s="18" t="s">
        <v>19</v>
      </c>
      <c r="F156" s="18" t="s">
        <v>19</v>
      </c>
      <c r="G156" s="18" t="s">
        <v>19</v>
      </c>
      <c r="H156" s="18" t="s">
        <v>19</v>
      </c>
      <c r="I156" s="18" t="n">
        <v>9</v>
      </c>
      <c r="J156" s="31" t="n">
        <f aca="false">IF(SUM(State_Quality_Summary!L156,State_Quality_Summary!N156)&gt;0, State_Quality_Summary!L156/SUM(State_Quality_Summary!L156,State_Quality_Summary!N156), 1)</f>
        <v>0.97539975399754</v>
      </c>
      <c r="K156" s="33" t="n">
        <v>0</v>
      </c>
      <c r="L156" s="33" t="n">
        <f aca="false">IF(SUM(State_Quality_Summary!L156,State_Quality_Summary!N156)&gt;0, State_Quality_Summary!N156/SUM(State_Quality_Summary!L156,State_Quality_Summary!N156), 0)</f>
        <v>0.02460024600246</v>
      </c>
      <c r="M156" s="33" t="n">
        <v>0</v>
      </c>
      <c r="N156" s="16" t="str">
        <f aca="false">IF(L156&gt;0.05,"Poor Quality",IF(L156&gt;0.01,"Moderately Safe","Excellent"))</f>
        <v>Moderately Safe</v>
      </c>
    </row>
    <row r="157" customFormat="false" ht="15" hidden="false" customHeight="true" outlineLevel="0" collapsed="false">
      <c r="A157" s="13" t="n">
        <v>2025</v>
      </c>
      <c r="B157" s="13" t="s">
        <v>204</v>
      </c>
      <c r="C157" s="13" t="s">
        <v>177</v>
      </c>
      <c r="D157" s="15" t="s">
        <v>19</v>
      </c>
      <c r="E157" s="15" t="s">
        <v>19</v>
      </c>
      <c r="F157" s="15" t="s">
        <v>19</v>
      </c>
      <c r="G157" s="15" t="s">
        <v>19</v>
      </c>
      <c r="H157" s="15" t="s">
        <v>19</v>
      </c>
      <c r="I157" s="15" t="n">
        <v>9</v>
      </c>
      <c r="J157" s="31" t="n">
        <f aca="false">IF(SUM(State_Quality_Summary!L157,State_Quality_Summary!N157)&gt;0, State_Quality_Summary!L157/SUM(State_Quality_Summary!L157,State_Quality_Summary!N157), 1)</f>
        <v>0.9992</v>
      </c>
      <c r="K157" s="32" t="n">
        <v>0</v>
      </c>
      <c r="L157" s="32" t="n">
        <f aca="false">IF(SUM(State_Quality_Summary!L157,State_Quality_Summary!N157)&gt;0, State_Quality_Summary!N157/SUM(State_Quality_Summary!L157,State_Quality_Summary!N157), 0)</f>
        <v>0.0008</v>
      </c>
      <c r="M157" s="32" t="n">
        <v>0</v>
      </c>
      <c r="N157" s="13" t="str">
        <f aca="false">IF(L157&gt;0.05,"Poor Quality",IF(L157&gt;0.01,"Moderately Safe","Excellent"))</f>
        <v>Excellent</v>
      </c>
    </row>
    <row r="158" customFormat="false" ht="15" hidden="false" customHeight="true" outlineLevel="0" collapsed="false">
      <c r="A158" s="16" t="n">
        <v>2025</v>
      </c>
      <c r="B158" s="16" t="s">
        <v>206</v>
      </c>
      <c r="C158" s="16" t="s">
        <v>188</v>
      </c>
      <c r="D158" s="18" t="s">
        <v>19</v>
      </c>
      <c r="E158" s="18" t="s">
        <v>19</v>
      </c>
      <c r="F158" s="18" t="s">
        <v>19</v>
      </c>
      <c r="G158" s="18" t="s">
        <v>19</v>
      </c>
      <c r="H158" s="18" t="s">
        <v>19</v>
      </c>
      <c r="I158" s="18" t="n">
        <v>183</v>
      </c>
      <c r="J158" s="31" t="n">
        <f aca="false">IF(SUM(State_Quality_Summary!L158,State_Quality_Summary!N158)&gt;0, State_Quality_Summary!L158/SUM(State_Quality_Summary!L158,State_Quality_Summary!N158), 1)</f>
        <v>0.99970000048387</v>
      </c>
      <c r="K158" s="33" t="n">
        <v>0</v>
      </c>
      <c r="L158" s="33" t="n">
        <f aca="false">IF(SUM(State_Quality_Summary!L158,State_Quality_Summary!N158)&gt;0, State_Quality_Summary!N158/SUM(State_Quality_Summary!L158,State_Quality_Summary!N158), 0)</f>
        <v>0.000299999516129813</v>
      </c>
      <c r="M158" s="33" t="n">
        <v>0</v>
      </c>
      <c r="N158" s="16" t="str">
        <f aca="false">IF(L158&gt;0.05,"Poor Quality",IF(L158&gt;0.01,"Moderately Safe","Excellent"))</f>
        <v>Excellent</v>
      </c>
    </row>
    <row r="159" customFormat="false" ht="15" hidden="false" customHeight="true" outlineLevel="0" collapsed="false">
      <c r="A159" s="13" t="n">
        <v>2025</v>
      </c>
      <c r="B159" s="13" t="s">
        <v>208</v>
      </c>
      <c r="C159" s="13" t="s">
        <v>192</v>
      </c>
      <c r="D159" s="15" t="n">
        <v>30</v>
      </c>
      <c r="E159" s="15" t="s">
        <v>19</v>
      </c>
      <c r="F159" s="15" t="n">
        <v>1</v>
      </c>
      <c r="G159" s="15" t="s">
        <v>19</v>
      </c>
      <c r="H159" s="15" t="n">
        <v>30</v>
      </c>
      <c r="I159" s="15" t="n">
        <v>219</v>
      </c>
      <c r="J159" s="31" t="n">
        <f aca="false">IF(SUM(State_Quality_Summary!L159,State_Quality_Summary!N159)&gt;0, State_Quality_Summary!L159/SUM(State_Quality_Summary!L159,State_Quality_Summary!N159), 1)</f>
        <v>0.956900007541209</v>
      </c>
      <c r="K159" s="32" t="n">
        <v>0</v>
      </c>
      <c r="L159" s="32" t="n">
        <f aca="false">IF(SUM(State_Quality_Summary!L159,State_Quality_Summary!N159)&gt;0, State_Quality_Summary!N159/SUM(State_Quality_Summary!L159,State_Quality_Summary!N159), 0)</f>
        <v>0.0430999924587913</v>
      </c>
      <c r="M159" s="32" t="n">
        <v>0</v>
      </c>
      <c r="N159" s="13" t="str">
        <f aca="false">IF(L159&gt;0.05,"Poor Quality",IF(L159&gt;0.01,"Moderately Safe","Excellent"))</f>
        <v>Moderately Safe</v>
      </c>
    </row>
    <row r="160" customFormat="false" ht="15" hidden="false" customHeight="true" outlineLevel="0" collapsed="false">
      <c r="A160" s="16" t="n">
        <v>2025</v>
      </c>
      <c r="B160" s="16" t="s">
        <v>210</v>
      </c>
      <c r="C160" s="16" t="s">
        <v>183</v>
      </c>
      <c r="D160" s="18" t="s">
        <v>19</v>
      </c>
      <c r="E160" s="18" t="s">
        <v>19</v>
      </c>
      <c r="F160" s="18" t="s">
        <v>19</v>
      </c>
      <c r="G160" s="18" t="s">
        <v>19</v>
      </c>
      <c r="H160" s="18" t="s">
        <v>19</v>
      </c>
      <c r="I160" s="18" t="n">
        <v>13</v>
      </c>
      <c r="J160" s="31" t="n">
        <f aca="false">IF(SUM(State_Quality_Summary!L160,State_Quality_Summary!N160)&gt;0, State_Quality_Summary!L160/SUM(State_Quality_Summary!L160,State_Quality_Summary!N160), 1)</f>
        <v>1</v>
      </c>
      <c r="K160" s="33" t="n">
        <v>0</v>
      </c>
      <c r="L160" s="33" t="n">
        <f aca="false">IF(SUM(State_Quality_Summary!L160,State_Quality_Summary!N160)&gt;0, State_Quality_Summary!N160/SUM(State_Quality_Summary!L160,State_Quality_Summary!N160), 0)</f>
        <v>0</v>
      </c>
      <c r="M160" s="33" t="n">
        <v>0</v>
      </c>
      <c r="N160" s="16" t="str">
        <f aca="false">IF(L160&gt;0.05,"Poor Quality",IF(L160&gt;0.01,"Moderately Safe","Excellent"))</f>
        <v>Excellent</v>
      </c>
    </row>
    <row r="161" customFormat="false" ht="15" hidden="false" customHeight="true" outlineLevel="0" collapsed="false">
      <c r="A161" s="13" t="n">
        <v>2025</v>
      </c>
      <c r="B161" s="13" t="s">
        <v>211</v>
      </c>
      <c r="C161" s="13" t="s">
        <v>183</v>
      </c>
      <c r="D161" s="15" t="s">
        <v>19</v>
      </c>
      <c r="E161" s="15" t="s">
        <v>19</v>
      </c>
      <c r="F161" s="15" t="s">
        <v>19</v>
      </c>
      <c r="G161" s="15" t="s">
        <v>19</v>
      </c>
      <c r="H161" s="15" t="s">
        <v>19</v>
      </c>
      <c r="I161" s="15" t="n">
        <v>29</v>
      </c>
      <c r="J161" s="31" t="n">
        <f aca="false">IF(SUM(State_Quality_Summary!L161,State_Quality_Summary!N161)&gt;0, State_Quality_Summary!L161/SUM(State_Quality_Summary!L161,State_Quality_Summary!N161), 1)</f>
        <v>0.99560004399956</v>
      </c>
      <c r="K161" s="32" t="n">
        <v>0</v>
      </c>
      <c r="L161" s="32" t="n">
        <f aca="false">IF(SUM(State_Quality_Summary!L161,State_Quality_Summary!N161)&gt;0, State_Quality_Summary!N161/SUM(State_Quality_Summary!L161,State_Quality_Summary!N161), 0)</f>
        <v>0.00439995600044</v>
      </c>
      <c r="M161" s="32" t="n">
        <v>0</v>
      </c>
      <c r="N161" s="13" t="str">
        <f aca="false">IF(L161&gt;0.05,"Poor Quality",IF(L161&gt;0.01,"Moderately Safe","Excellent"))</f>
        <v>Excellent</v>
      </c>
    </row>
    <row r="162" customFormat="false" ht="15" hidden="false" customHeight="true" outlineLevel="0" collapsed="false">
      <c r="A162" s="16" t="n">
        <v>2025</v>
      </c>
      <c r="B162" s="16" t="s">
        <v>213</v>
      </c>
      <c r="C162" s="16" t="s">
        <v>183</v>
      </c>
      <c r="D162" s="18" t="s">
        <v>19</v>
      </c>
      <c r="E162" s="18" t="s">
        <v>19</v>
      </c>
      <c r="F162" s="18" t="s">
        <v>19</v>
      </c>
      <c r="G162" s="18" t="s">
        <v>19</v>
      </c>
      <c r="H162" s="18" t="s">
        <v>19</v>
      </c>
      <c r="I162" s="18" t="n">
        <v>28</v>
      </c>
      <c r="J162" s="31" t="n">
        <f aca="false">IF(SUM(State_Quality_Summary!L162,State_Quality_Summary!N162)&gt;0, State_Quality_Summary!L162/SUM(State_Quality_Summary!L162,State_Quality_Summary!N162), 1)</f>
        <v>0.940207972270364</v>
      </c>
      <c r="K162" s="33" t="n">
        <v>0</v>
      </c>
      <c r="L162" s="33" t="n">
        <f aca="false">IF(SUM(State_Quality_Summary!L162,State_Quality_Summary!N162)&gt;0, State_Quality_Summary!N162/SUM(State_Quality_Summary!L162,State_Quality_Summary!N162), 0)</f>
        <v>0.0597920277296361</v>
      </c>
      <c r="M162" s="33" t="n">
        <v>0</v>
      </c>
      <c r="N162" s="16" t="str">
        <f aca="false">IF(L162&gt;0.05,"Poor Quality",IF(L162&gt;0.01,"Moderately Safe","Excellent"))</f>
        <v>Poor Quality</v>
      </c>
    </row>
    <row r="163" customFormat="false" ht="15" hidden="false" customHeight="true" outlineLevel="0" collapsed="false">
      <c r="A163" s="13" t="n">
        <v>2025</v>
      </c>
      <c r="B163" s="13" t="s">
        <v>215</v>
      </c>
      <c r="C163" s="13" t="s">
        <v>183</v>
      </c>
      <c r="D163" s="15" t="s">
        <v>19</v>
      </c>
      <c r="E163" s="15" t="s">
        <v>19</v>
      </c>
      <c r="F163" s="15" t="s">
        <v>19</v>
      </c>
      <c r="G163" s="15" t="s">
        <v>19</v>
      </c>
      <c r="H163" s="15" t="s">
        <v>19</v>
      </c>
      <c r="I163" s="15" t="n">
        <v>12</v>
      </c>
      <c r="J163" s="31" t="n">
        <f aca="false">IF(SUM(State_Quality_Summary!L163,State_Quality_Summary!N163)&gt;0, State_Quality_Summary!L163/SUM(State_Quality_Summary!L163,State_Quality_Summary!N163), 1)</f>
        <v>1</v>
      </c>
      <c r="K163" s="32" t="n">
        <v>0</v>
      </c>
      <c r="L163" s="32" t="n">
        <f aca="false">IF(SUM(State_Quality_Summary!L163,State_Quality_Summary!N163)&gt;0, State_Quality_Summary!N163/SUM(State_Quality_Summary!L163,State_Quality_Summary!N163), 0)</f>
        <v>0</v>
      </c>
      <c r="M163" s="32" t="n">
        <v>0</v>
      </c>
      <c r="N163" s="13" t="str">
        <f aca="false">IF(L163&gt;0.05,"Poor Quality",IF(L163&gt;0.01,"Moderately Safe","Excellent"))</f>
        <v>Excellent</v>
      </c>
    </row>
    <row r="164" customFormat="false" ht="15" hidden="false" customHeight="true" outlineLevel="0" collapsed="false">
      <c r="A164" s="16" t="n">
        <v>2025</v>
      </c>
      <c r="B164" s="16" t="s">
        <v>49</v>
      </c>
      <c r="C164" s="16" t="s">
        <v>50</v>
      </c>
      <c r="D164" s="18" t="n">
        <v>1357</v>
      </c>
      <c r="E164" s="18" t="s">
        <v>19</v>
      </c>
      <c r="F164" s="18" t="n">
        <v>268</v>
      </c>
      <c r="G164" s="18" t="s">
        <v>19</v>
      </c>
      <c r="H164" s="18" t="n">
        <v>3</v>
      </c>
      <c r="I164" s="18" t="n">
        <v>151</v>
      </c>
      <c r="J164" s="31" t="n">
        <f aca="false">IF(SUM(State_Quality_Summary!L164,State_Quality_Summary!N164)&gt;0, State_Quality_Summary!L164/SUM(State_Quality_Summary!L164,State_Quality_Summary!N164), 1)</f>
        <v>0.990099954219442</v>
      </c>
      <c r="K164" s="33" t="n">
        <v>0</v>
      </c>
      <c r="L164" s="33" t="n">
        <f aca="false">IF(SUM(State_Quality_Summary!L164,State_Quality_Summary!N164)&gt;0, State_Quality_Summary!N164/SUM(State_Quality_Summary!L164,State_Quality_Summary!N164), 0)</f>
        <v>0.00990004578055852</v>
      </c>
      <c r="M164" s="33" t="n">
        <v>0</v>
      </c>
      <c r="N164" s="16" t="str">
        <f aca="false">IF(L164&gt;0.05,"Poor Quality",IF(L164&gt;0.01,"Moderately Safe","Excellent"))</f>
        <v>Excellent</v>
      </c>
    </row>
    <row r="165" customFormat="false" ht="15" hidden="false" customHeight="true" outlineLevel="0" collapsed="false">
      <c r="A165" s="13" t="n">
        <v>2025</v>
      </c>
      <c r="B165" s="13" t="s">
        <v>217</v>
      </c>
      <c r="C165" s="13" t="s">
        <v>177</v>
      </c>
      <c r="D165" s="15" t="s">
        <v>19</v>
      </c>
      <c r="E165" s="15" t="s">
        <v>19</v>
      </c>
      <c r="F165" s="15" t="s">
        <v>19</v>
      </c>
      <c r="G165" s="15" t="s">
        <v>19</v>
      </c>
      <c r="H165" s="15" t="s">
        <v>19</v>
      </c>
      <c r="I165" s="15" t="n">
        <v>2</v>
      </c>
      <c r="J165" s="31" t="n">
        <f aca="false">IF(SUM(State_Quality_Summary!L165,State_Quality_Summary!N165)&gt;0, State_Quality_Summary!L165/SUM(State_Quality_Summary!L165,State_Quality_Summary!N165), 1)</f>
        <v>1</v>
      </c>
      <c r="K165" s="32" t="n">
        <v>0</v>
      </c>
      <c r="L165" s="32" t="n">
        <f aca="false">IF(SUM(State_Quality_Summary!L165,State_Quality_Summary!N165)&gt;0, State_Quality_Summary!N165/SUM(State_Quality_Summary!L165,State_Quality_Summary!N165), 0)</f>
        <v>0</v>
      </c>
      <c r="M165" s="32" t="n">
        <v>0</v>
      </c>
      <c r="N165" s="13" t="str">
        <f aca="false">IF(L165&gt;0.05,"Poor Quality",IF(L165&gt;0.01,"Moderately Safe","Excellent"))</f>
        <v>Excellent</v>
      </c>
    </row>
    <row r="166" customFormat="false" ht="15" hidden="false" customHeight="true" outlineLevel="0" collapsed="false">
      <c r="A166" s="16" t="n">
        <v>2025</v>
      </c>
      <c r="B166" s="16" t="s">
        <v>218</v>
      </c>
      <c r="C166" s="16" t="s">
        <v>39</v>
      </c>
      <c r="D166" s="18" t="s">
        <v>19</v>
      </c>
      <c r="E166" s="18" t="s">
        <v>19</v>
      </c>
      <c r="F166" s="18" t="s">
        <v>19</v>
      </c>
      <c r="G166" s="18" t="s">
        <v>19</v>
      </c>
      <c r="H166" s="18" t="s">
        <v>19</v>
      </c>
      <c r="I166" s="18" t="n">
        <v>33</v>
      </c>
      <c r="J166" s="31" t="n">
        <f aca="false">IF(SUM(State_Quality_Summary!L166,State_Quality_Summary!N166)&gt;0, State_Quality_Summary!L166/SUM(State_Quality_Summary!L166,State_Quality_Summary!N166), 1)</f>
        <v>0.986599860172454</v>
      </c>
      <c r="K166" s="33" t="n">
        <v>0</v>
      </c>
      <c r="L166" s="33" t="n">
        <f aca="false">IF(SUM(State_Quality_Summary!L166,State_Quality_Summary!N166)&gt;0, State_Quality_Summary!N166/SUM(State_Quality_Summary!L166,State_Quality_Summary!N166), 0)</f>
        <v>0.013400139827546</v>
      </c>
      <c r="M166" s="33" t="n">
        <v>0</v>
      </c>
      <c r="N166" s="16" t="str">
        <f aca="false">IF(L166&gt;0.05,"Poor Quality",IF(L166&gt;0.01,"Moderately Safe","Excellent"))</f>
        <v>Moderately Safe</v>
      </c>
    </row>
    <row r="167" customFormat="false" ht="15" hidden="false" customHeight="true" outlineLevel="0" collapsed="false">
      <c r="A167" s="13" t="n">
        <v>2025</v>
      </c>
      <c r="B167" s="13" t="s">
        <v>114</v>
      </c>
      <c r="C167" s="13" t="s">
        <v>192</v>
      </c>
      <c r="D167" s="15" t="s">
        <v>19</v>
      </c>
      <c r="E167" s="15" t="s">
        <v>19</v>
      </c>
      <c r="F167" s="15" t="s">
        <v>19</v>
      </c>
      <c r="G167" s="15" t="s">
        <v>19</v>
      </c>
      <c r="H167" s="15" t="s">
        <v>19</v>
      </c>
      <c r="I167" s="15" t="n">
        <v>77</v>
      </c>
      <c r="J167" s="31" t="n">
        <f aca="false">IF(SUM(State_Quality_Summary!L167,State_Quality_Summary!N167)&gt;0, State_Quality_Summary!L167/SUM(State_Quality_Summary!L167,State_Quality_Summary!N167), 1)</f>
        <v>0.898999090081893</v>
      </c>
      <c r="K167" s="32" t="n">
        <v>0</v>
      </c>
      <c r="L167" s="32" t="n">
        <f aca="false">IF(SUM(State_Quality_Summary!L167,State_Quality_Summary!N167)&gt;0, State_Quality_Summary!N167/SUM(State_Quality_Summary!L167,State_Quality_Summary!N167), 0)</f>
        <v>0.101000909918107</v>
      </c>
      <c r="M167" s="32" t="n">
        <v>0</v>
      </c>
      <c r="N167" s="13" t="str">
        <f aca="false">IF(L167&gt;0.05,"Poor Quality",IF(L167&gt;0.01,"Moderately Safe","Excellent"))</f>
        <v>Poor Quality</v>
      </c>
    </row>
    <row r="168" customFormat="false" ht="15" hidden="false" customHeight="true" outlineLevel="0" collapsed="false">
      <c r="A168" s="16" t="n">
        <v>2025</v>
      </c>
      <c r="B168" s="16" t="s">
        <v>221</v>
      </c>
      <c r="C168" s="16" t="s">
        <v>183</v>
      </c>
      <c r="D168" s="18" t="s">
        <v>19</v>
      </c>
      <c r="E168" s="18" t="s">
        <v>19</v>
      </c>
      <c r="F168" s="18" t="s">
        <v>19</v>
      </c>
      <c r="G168" s="18" t="s">
        <v>19</v>
      </c>
      <c r="H168" s="18" t="s">
        <v>19</v>
      </c>
      <c r="I168" s="18" t="n">
        <v>2</v>
      </c>
      <c r="J168" s="31" t="n">
        <f aca="false">IF(SUM(State_Quality_Summary!L168,State_Quality_Summary!N168)&gt;0, State_Quality_Summary!L168/SUM(State_Quality_Summary!L168,State_Quality_Summary!N168), 1)</f>
        <v>0.5</v>
      </c>
      <c r="K168" s="33" t="n">
        <v>0</v>
      </c>
      <c r="L168" s="33" t="n">
        <f aca="false">IF(SUM(State_Quality_Summary!L168,State_Quality_Summary!N168)&gt;0, State_Quality_Summary!N168/SUM(State_Quality_Summary!L168,State_Quality_Summary!N168), 0)</f>
        <v>0.5</v>
      </c>
      <c r="M168" s="33" t="n">
        <v>0</v>
      </c>
      <c r="N168" s="16" t="str">
        <f aca="false">IF(L168&gt;0.05,"Poor Quality",IF(L168&gt;0.01,"Moderately Safe","Excellent"))</f>
        <v>Poor Quality</v>
      </c>
    </row>
    <row r="169" customFormat="false" ht="15" hidden="false" customHeight="true" outlineLevel="0" collapsed="false">
      <c r="A169" s="13" t="n">
        <v>2025</v>
      </c>
      <c r="B169" s="13" t="s">
        <v>148</v>
      </c>
      <c r="C169" s="13" t="s">
        <v>180</v>
      </c>
      <c r="D169" s="15" t="s">
        <v>19</v>
      </c>
      <c r="E169" s="15" t="s">
        <v>19</v>
      </c>
      <c r="F169" s="15" t="s">
        <v>19</v>
      </c>
      <c r="G169" s="15" t="s">
        <v>19</v>
      </c>
      <c r="H169" s="15" t="s">
        <v>19</v>
      </c>
      <c r="I169" s="15" t="n">
        <v>107</v>
      </c>
      <c r="J169" s="31" t="n">
        <f aca="false">IF(SUM(State_Quality_Summary!L169,State_Quality_Summary!N169)&gt;0, State_Quality_Summary!L169/SUM(State_Quality_Summary!L169,State_Quality_Summary!N169), 1)</f>
        <v>0.9998</v>
      </c>
      <c r="K169" s="32" t="n">
        <v>0</v>
      </c>
      <c r="L169" s="32" t="n">
        <f aca="false">IF(SUM(State_Quality_Summary!L169,State_Quality_Summary!N169)&gt;0, State_Quality_Summary!N169/SUM(State_Quality_Summary!L169,State_Quality_Summary!N169), 0)</f>
        <v>0.0002</v>
      </c>
      <c r="M169" s="32" t="n">
        <v>0</v>
      </c>
      <c r="N169" s="13" t="str">
        <f aca="false">IF(L169&gt;0.05,"Poor Quality",IF(L169&gt;0.01,"Moderately Safe","Excellent"))</f>
        <v>Excellent</v>
      </c>
    </row>
    <row r="170" customFormat="false" ht="15" hidden="false" customHeight="true" outlineLevel="0" collapsed="false">
      <c r="A170" s="16" t="n">
        <v>2025</v>
      </c>
      <c r="B170" s="16" t="s">
        <v>108</v>
      </c>
      <c r="C170" s="16" t="s">
        <v>180</v>
      </c>
      <c r="D170" s="18" t="s">
        <v>19</v>
      </c>
      <c r="E170" s="18" t="s">
        <v>19</v>
      </c>
      <c r="F170" s="18" t="s">
        <v>19</v>
      </c>
      <c r="G170" s="18" t="s">
        <v>19</v>
      </c>
      <c r="H170" s="18" t="s">
        <v>19</v>
      </c>
      <c r="I170" s="18" t="n">
        <v>115</v>
      </c>
      <c r="J170" s="31" t="n">
        <f aca="false">IF(SUM(State_Quality_Summary!L170,State_Quality_Summary!N170)&gt;0, State_Quality_Summary!L170/SUM(State_Quality_Summary!L170,State_Quality_Summary!N170), 1)</f>
        <v>1</v>
      </c>
      <c r="K170" s="33" t="n">
        <v>0</v>
      </c>
      <c r="L170" s="33" t="n">
        <f aca="false">IF(SUM(State_Quality_Summary!L170,State_Quality_Summary!N170)&gt;0, State_Quality_Summary!N170/SUM(State_Quality_Summary!L170,State_Quality_Summary!N170), 0)</f>
        <v>0</v>
      </c>
      <c r="M170" s="33" t="n">
        <v>0</v>
      </c>
      <c r="N170" s="16" t="str">
        <f aca="false">IF(L170&gt;0.05,"Poor Quality",IF(L170&gt;0.01,"Moderately Safe","Excellent"))</f>
        <v>Excellent</v>
      </c>
    </row>
    <row r="171" customFormat="false" ht="15" hidden="false" customHeight="true" outlineLevel="0" collapsed="false">
      <c r="A171" s="13" t="n">
        <v>2025</v>
      </c>
      <c r="B171" s="13" t="s">
        <v>223</v>
      </c>
      <c r="C171" s="13" t="s">
        <v>183</v>
      </c>
      <c r="D171" s="15" t="s">
        <v>19</v>
      </c>
      <c r="E171" s="15" t="s">
        <v>19</v>
      </c>
      <c r="F171" s="15" t="s">
        <v>19</v>
      </c>
      <c r="G171" s="15" t="s">
        <v>19</v>
      </c>
      <c r="H171" s="15" t="s">
        <v>19</v>
      </c>
      <c r="I171" s="15" t="n">
        <v>20</v>
      </c>
      <c r="J171" s="31" t="n">
        <f aca="false">IF(SUM(State_Quality_Summary!L171,State_Quality_Summary!N171)&gt;0, State_Quality_Summary!L171/SUM(State_Quality_Summary!L171,State_Quality_Summary!N171), 1)</f>
        <v>0.999</v>
      </c>
      <c r="K171" s="32" t="n">
        <v>0</v>
      </c>
      <c r="L171" s="32" t="n">
        <f aca="false">IF(SUM(State_Quality_Summary!L171,State_Quality_Summary!N171)&gt;0, State_Quality_Summary!N171/SUM(State_Quality_Summary!L171,State_Quality_Summary!N171), 0)</f>
        <v>0.001</v>
      </c>
      <c r="M171" s="32" t="n">
        <v>0</v>
      </c>
      <c r="N171" s="13" t="str">
        <f aca="false">IF(L171&gt;0.05,"Poor Quality",IF(L171&gt;0.01,"Moderately Safe","Excellent"))</f>
        <v>Excellent</v>
      </c>
    </row>
    <row r="172" customFormat="false" ht="15" hidden="false" customHeight="true" outlineLevel="0" collapsed="false">
      <c r="A172" s="16" t="n">
        <v>2025</v>
      </c>
      <c r="B172" s="16" t="s">
        <v>67</v>
      </c>
      <c r="C172" s="16" t="s">
        <v>39</v>
      </c>
      <c r="D172" s="18" t="n">
        <v>22</v>
      </c>
      <c r="E172" s="18" t="s">
        <v>19</v>
      </c>
      <c r="F172" s="18" t="n">
        <v>8</v>
      </c>
      <c r="G172" s="18" t="s">
        <v>19</v>
      </c>
      <c r="H172" s="18" t="n">
        <v>14</v>
      </c>
      <c r="I172" s="18" t="n">
        <v>140</v>
      </c>
      <c r="J172" s="31" t="n">
        <f aca="false">IF(SUM(State_Quality_Summary!L172,State_Quality_Summary!N172)&gt;0, State_Quality_Summary!L172/SUM(State_Quality_Summary!L172,State_Quality_Summary!N172), 1)</f>
        <v>0.991899996105767</v>
      </c>
      <c r="K172" s="33" t="n">
        <v>0</v>
      </c>
      <c r="L172" s="33" t="n">
        <f aca="false">IF(SUM(State_Quality_Summary!L172,State_Quality_Summary!N172)&gt;0, State_Quality_Summary!N172/SUM(State_Quality_Summary!L172,State_Quality_Summary!N172), 0)</f>
        <v>0.00810000389423264</v>
      </c>
      <c r="M172" s="33" t="n">
        <v>0</v>
      </c>
      <c r="N172" s="16" t="str">
        <f aca="false">IF(L172&gt;0.05,"Poor Quality",IF(L172&gt;0.01,"Moderately Safe","Excellent"))</f>
        <v>Excellent</v>
      </c>
    </row>
    <row r="173" customFormat="false" ht="15" hidden="false" customHeight="true" outlineLevel="0" collapsed="false">
      <c r="A173" s="13" t="n">
        <v>2025</v>
      </c>
      <c r="B173" s="13" t="s">
        <v>62</v>
      </c>
      <c r="C173" s="13" t="s">
        <v>39</v>
      </c>
      <c r="D173" s="15" t="s">
        <v>19</v>
      </c>
      <c r="E173" s="15" t="s">
        <v>19</v>
      </c>
      <c r="F173" s="15" t="s">
        <v>19</v>
      </c>
      <c r="G173" s="15" t="s">
        <v>19</v>
      </c>
      <c r="H173" s="15" t="s">
        <v>19</v>
      </c>
      <c r="I173" s="15" t="n">
        <v>27</v>
      </c>
      <c r="J173" s="31" t="n">
        <f aca="false">IF(SUM(State_Quality_Summary!L173,State_Quality_Summary!N173)&gt;0, State_Quality_Summary!L173/SUM(State_Quality_Summary!L173,State_Quality_Summary!N173), 1)</f>
        <v>0.986600085317809</v>
      </c>
      <c r="K173" s="32" t="n">
        <v>0</v>
      </c>
      <c r="L173" s="32" t="n">
        <f aca="false">IF(SUM(State_Quality_Summary!L173,State_Quality_Summary!N173)&gt;0, State_Quality_Summary!N173/SUM(State_Quality_Summary!L173,State_Quality_Summary!N173), 0)</f>
        <v>0.0133999146821912</v>
      </c>
      <c r="M173" s="32" t="n">
        <v>0</v>
      </c>
      <c r="N173" s="13" t="str">
        <f aca="false">IF(L173&gt;0.05,"Poor Quality",IF(L173&gt;0.01,"Moderately Safe","Excellent"))</f>
        <v>Moderately Safe</v>
      </c>
    </row>
    <row r="174" customFormat="false" ht="15" hidden="false" customHeight="true" outlineLevel="0" collapsed="false">
      <c r="A174" s="16" t="n">
        <v>2025</v>
      </c>
      <c r="B174" s="16" t="s">
        <v>73</v>
      </c>
      <c r="C174" s="16" t="s">
        <v>50</v>
      </c>
      <c r="D174" s="18" t="s">
        <v>19</v>
      </c>
      <c r="E174" s="18" t="s">
        <v>19</v>
      </c>
      <c r="F174" s="18" t="s">
        <v>19</v>
      </c>
      <c r="G174" s="18" t="s">
        <v>19</v>
      </c>
      <c r="H174" s="18" t="s">
        <v>19</v>
      </c>
      <c r="I174" s="18" t="n">
        <v>241</v>
      </c>
      <c r="J174" s="31" t="n">
        <f aca="false">IF(SUM(State_Quality_Summary!L174,State_Quality_Summary!N174)&gt;0, State_Quality_Summary!L174/SUM(State_Quality_Summary!L174,State_Quality_Summary!N174), 1)</f>
        <v>0.802699250975113</v>
      </c>
      <c r="K174" s="33" t="n">
        <v>0</v>
      </c>
      <c r="L174" s="33" t="n">
        <f aca="false">IF(SUM(State_Quality_Summary!L174,State_Quality_Summary!N174)&gt;0, State_Quality_Summary!N174/SUM(State_Quality_Summary!L174,State_Quality_Summary!N174), 0)</f>
        <v>0.197300749024887</v>
      </c>
      <c r="M174" s="33" t="n">
        <v>0</v>
      </c>
      <c r="N174" s="16" t="str">
        <f aca="false">IF(L174&gt;0.05,"Poor Quality",IF(L174&gt;0.01,"Moderately Safe","Excellent"))</f>
        <v>Poor Quality</v>
      </c>
    </row>
    <row r="175" customFormat="false" ht="15" hidden="false" customHeight="true" outlineLevel="0" collapsed="false">
      <c r="A175" s="13" t="n">
        <v>2026</v>
      </c>
      <c r="B175" s="13" t="s">
        <v>176</v>
      </c>
      <c r="C175" s="13" t="s">
        <v>177</v>
      </c>
      <c r="D175" s="15" t="s">
        <v>19</v>
      </c>
      <c r="E175" s="15" t="s">
        <v>19</v>
      </c>
      <c r="F175" s="15" t="s">
        <v>19</v>
      </c>
      <c r="G175" s="15" t="s">
        <v>19</v>
      </c>
      <c r="H175" s="15" t="s">
        <v>19</v>
      </c>
      <c r="I175" s="15" t="n">
        <v>11</v>
      </c>
      <c r="J175" s="31" t="n">
        <f aca="false">IF(SUM(State_Quality_Summary!L175,State_Quality_Summary!N175)&gt;0, State_Quality_Summary!L175/SUM(State_Quality_Summary!L175,State_Quality_Summary!N175), 1)</f>
        <v>0.997701149425287</v>
      </c>
      <c r="K175" s="32" t="n">
        <v>0</v>
      </c>
      <c r="L175" s="32" t="n">
        <f aca="false">IF(SUM(State_Quality_Summary!L175,State_Quality_Summary!N175)&gt;0, State_Quality_Summary!N175/SUM(State_Quality_Summary!L175,State_Quality_Summary!N175), 0)</f>
        <v>0.00229885057471264</v>
      </c>
      <c r="M175" s="32" t="n">
        <v>0</v>
      </c>
      <c r="N175" s="13" t="str">
        <f aca="false">IF(L175&gt;0.05,"Poor Quality",IF(L175&gt;0.01,"Moderately Safe","Excellent"))</f>
        <v>Excellent</v>
      </c>
    </row>
    <row r="176" customFormat="false" ht="15" hidden="false" customHeight="true" outlineLevel="0" collapsed="false">
      <c r="A176" s="16" t="n">
        <v>2026</v>
      </c>
      <c r="B176" s="16" t="s">
        <v>13</v>
      </c>
      <c r="C176" s="16" t="s">
        <v>180</v>
      </c>
      <c r="D176" s="18" t="n">
        <v>115</v>
      </c>
      <c r="E176" s="18" t="s">
        <v>19</v>
      </c>
      <c r="F176" s="18" t="n">
        <v>4</v>
      </c>
      <c r="G176" s="18" t="s">
        <v>19</v>
      </c>
      <c r="H176" s="18" t="n">
        <v>115</v>
      </c>
      <c r="I176" s="18" t="n">
        <v>138</v>
      </c>
      <c r="J176" s="31" t="n">
        <f aca="false">IF(SUM(State_Quality_Summary!L176,State_Quality_Summary!N176)&gt;0, State_Quality_Summary!L176/SUM(State_Quality_Summary!L176,State_Quality_Summary!N176), 1)</f>
        <v>1</v>
      </c>
      <c r="K176" s="33" t="n">
        <v>0</v>
      </c>
      <c r="L176" s="33" t="n">
        <f aca="false">IF(SUM(State_Quality_Summary!L176,State_Quality_Summary!N176)&gt;0, State_Quality_Summary!N176/SUM(State_Quality_Summary!L176,State_Quality_Summary!N176), 0)</f>
        <v>0</v>
      </c>
      <c r="M176" s="33" t="n">
        <v>0</v>
      </c>
      <c r="N176" s="16" t="str">
        <f aca="false">IF(L176&gt;0.05,"Poor Quality",IF(L176&gt;0.01,"Moderately Safe","Excellent"))</f>
        <v>Excellent</v>
      </c>
    </row>
    <row r="177" customFormat="false" ht="15" hidden="false" customHeight="true" outlineLevel="0" collapsed="false">
      <c r="A177" s="13" t="n">
        <v>2026</v>
      </c>
      <c r="B177" s="13" t="s">
        <v>182</v>
      </c>
      <c r="C177" s="13" t="s">
        <v>183</v>
      </c>
      <c r="D177" s="15" t="s">
        <v>19</v>
      </c>
      <c r="E177" s="15" t="s">
        <v>19</v>
      </c>
      <c r="F177" s="15" t="s">
        <v>19</v>
      </c>
      <c r="G177" s="15" t="s">
        <v>19</v>
      </c>
      <c r="H177" s="15" t="s">
        <v>19</v>
      </c>
      <c r="I177" s="15" t="n">
        <v>38</v>
      </c>
      <c r="J177" s="31" t="n">
        <f aca="false">IF(SUM(State_Quality_Summary!L177,State_Quality_Summary!N177)&gt;0, State_Quality_Summary!L177/SUM(State_Quality_Summary!L177,State_Quality_Summary!N177), 1)</f>
        <v>1</v>
      </c>
      <c r="K177" s="32" t="n">
        <v>0</v>
      </c>
      <c r="L177" s="32" t="n">
        <f aca="false">IF(SUM(State_Quality_Summary!L177,State_Quality_Summary!N177)&gt;0, State_Quality_Summary!N177/SUM(State_Quality_Summary!L177,State_Quality_Summary!N177), 0)</f>
        <v>0</v>
      </c>
      <c r="M177" s="32" t="n">
        <v>0</v>
      </c>
      <c r="N177" s="13" t="str">
        <f aca="false">IF(L177&gt;0.05,"Poor Quality",IF(L177&gt;0.01,"Moderately Safe","Excellent"))</f>
        <v>Excellent</v>
      </c>
    </row>
    <row r="178" customFormat="false" ht="15" hidden="false" customHeight="true" outlineLevel="0" collapsed="false">
      <c r="A178" s="16" t="n">
        <v>2026</v>
      </c>
      <c r="B178" s="16" t="s">
        <v>184</v>
      </c>
      <c r="C178" s="16" t="s">
        <v>183</v>
      </c>
      <c r="D178" s="18" t="s">
        <v>19</v>
      </c>
      <c r="E178" s="18" t="s">
        <v>19</v>
      </c>
      <c r="F178" s="18" t="s">
        <v>19</v>
      </c>
      <c r="G178" s="18" t="s">
        <v>19</v>
      </c>
      <c r="H178" s="18" t="s">
        <v>19</v>
      </c>
      <c r="I178" s="18" t="n">
        <v>86</v>
      </c>
      <c r="J178" s="31" t="n">
        <f aca="false">IF(SUM(State_Quality_Summary!L178,State_Quality_Summary!N178)&gt;0, State_Quality_Summary!L178/SUM(State_Quality_Summary!L178,State_Quality_Summary!N178), 1)</f>
        <v>0.991799945784766</v>
      </c>
      <c r="K178" s="33" t="n">
        <v>0</v>
      </c>
      <c r="L178" s="33" t="n">
        <f aca="false">IF(SUM(State_Quality_Summary!L178,State_Quality_Summary!N178)&gt;0, State_Quality_Summary!N178/SUM(State_Quality_Summary!L178,State_Quality_Summary!N178), 0)</f>
        <v>0.00820005421523448</v>
      </c>
      <c r="M178" s="33" t="n">
        <v>0</v>
      </c>
      <c r="N178" s="16" t="str">
        <f aca="false">IF(L178&gt;0.05,"Poor Quality",IF(L178&gt;0.01,"Moderately Safe","Excellent"))</f>
        <v>Excellent</v>
      </c>
    </row>
    <row r="179" customFormat="false" ht="15" hidden="false" customHeight="true" outlineLevel="0" collapsed="false">
      <c r="A179" s="13" t="n">
        <v>2026</v>
      </c>
      <c r="B179" s="13" t="s">
        <v>69</v>
      </c>
      <c r="C179" s="13" t="s">
        <v>50</v>
      </c>
      <c r="D179" s="15" t="s">
        <v>19</v>
      </c>
      <c r="E179" s="15" t="s">
        <v>19</v>
      </c>
      <c r="F179" s="15" t="s">
        <v>19</v>
      </c>
      <c r="G179" s="15" t="s">
        <v>19</v>
      </c>
      <c r="H179" s="15" t="s">
        <v>19</v>
      </c>
      <c r="I179" s="15" t="n">
        <v>123</v>
      </c>
      <c r="J179" s="31" t="n">
        <f aca="false">IF(SUM(State_Quality_Summary!L179,State_Quality_Summary!N179)&gt;0, State_Quality_Summary!L179/SUM(State_Quality_Summary!L179,State_Quality_Summary!N179), 1)</f>
        <v>0.9998</v>
      </c>
      <c r="K179" s="32" t="n">
        <v>0</v>
      </c>
      <c r="L179" s="32" t="n">
        <f aca="false">IF(SUM(State_Quality_Summary!L179,State_Quality_Summary!N179)&gt;0, State_Quality_Summary!N179/SUM(State_Quality_Summary!L179,State_Quality_Summary!N179), 0)</f>
        <v>0.0002</v>
      </c>
      <c r="M179" s="32" t="n">
        <v>0</v>
      </c>
      <c r="N179" s="13" t="str">
        <f aca="false">IF(L179&gt;0.05,"Poor Quality",IF(L179&gt;0.01,"Moderately Safe","Excellent"))</f>
        <v>Excellent</v>
      </c>
    </row>
    <row r="180" customFormat="false" ht="15" hidden="false" customHeight="true" outlineLevel="0" collapsed="false">
      <c r="A180" s="16" t="n">
        <v>2026</v>
      </c>
      <c r="B180" s="16" t="s">
        <v>187</v>
      </c>
      <c r="C180" s="16" t="s">
        <v>188</v>
      </c>
      <c r="D180" s="18" t="s">
        <v>19</v>
      </c>
      <c r="E180" s="18" t="s">
        <v>19</v>
      </c>
      <c r="F180" s="18" t="s">
        <v>19</v>
      </c>
      <c r="G180" s="18" t="s">
        <v>19</v>
      </c>
      <c r="H180" s="18" t="s">
        <v>19</v>
      </c>
      <c r="I180" s="18" t="n">
        <v>79</v>
      </c>
      <c r="J180" s="31" t="n">
        <f aca="false">IF(SUM(State_Quality_Summary!L180,State_Quality_Summary!N180)&gt;0, State_Quality_Summary!L180/SUM(State_Quality_Summary!L180,State_Quality_Summary!N180), 1)</f>
        <v>0.9992</v>
      </c>
      <c r="K180" s="33" t="n">
        <v>0</v>
      </c>
      <c r="L180" s="33" t="n">
        <f aca="false">IF(SUM(State_Quality_Summary!L180,State_Quality_Summary!N180)&gt;0, State_Quality_Summary!N180/SUM(State_Quality_Summary!L180,State_Quality_Summary!N180), 0)</f>
        <v>0.0008</v>
      </c>
      <c r="M180" s="33" t="n">
        <v>0</v>
      </c>
      <c r="N180" s="16" t="str">
        <f aca="false">IF(L180&gt;0.05,"Poor Quality",IF(L180&gt;0.01,"Moderately Safe","Excellent"))</f>
        <v>Excellent</v>
      </c>
    </row>
    <row r="181" customFormat="false" ht="15" hidden="false" customHeight="true" outlineLevel="0" collapsed="false">
      <c r="A181" s="13" t="n">
        <v>2026</v>
      </c>
      <c r="B181" s="13" t="s">
        <v>190</v>
      </c>
      <c r="C181" s="13" t="s">
        <v>177</v>
      </c>
      <c r="D181" s="15" t="s">
        <v>19</v>
      </c>
      <c r="E181" s="15" t="s">
        <v>19</v>
      </c>
      <c r="F181" s="15" t="s">
        <v>19</v>
      </c>
      <c r="G181" s="15" t="s">
        <v>19</v>
      </c>
      <c r="H181" s="15" t="s">
        <v>19</v>
      </c>
      <c r="I181" s="15" t="n">
        <v>2</v>
      </c>
      <c r="J181" s="31" t="n">
        <f aca="false">IF(SUM(State_Quality_Summary!L181,State_Quality_Summary!N181)&gt;0, State_Quality_Summary!L181/SUM(State_Quality_Summary!L181,State_Quality_Summary!N181), 1)</f>
        <v>1</v>
      </c>
      <c r="K181" s="32" t="n">
        <v>0</v>
      </c>
      <c r="L181" s="32" t="n">
        <f aca="false">IF(SUM(State_Quality_Summary!L181,State_Quality_Summary!N181)&gt;0, State_Quality_Summary!N181/SUM(State_Quality_Summary!L181,State_Quality_Summary!N181), 0)</f>
        <v>0</v>
      </c>
      <c r="M181" s="32" t="n">
        <v>0</v>
      </c>
      <c r="N181" s="13" t="str">
        <f aca="false">IF(L181&gt;0.05,"Poor Quality",IF(L181&gt;0.01,"Moderately Safe","Excellent"))</f>
        <v>Excellent</v>
      </c>
    </row>
    <row r="182" customFormat="false" ht="15" hidden="false" customHeight="true" outlineLevel="0" collapsed="false">
      <c r="A182" s="16" t="n">
        <v>2026</v>
      </c>
      <c r="B182" s="16" t="s">
        <v>191</v>
      </c>
      <c r="C182" s="16" t="s">
        <v>192</v>
      </c>
      <c r="D182" s="18" t="n">
        <v>3</v>
      </c>
      <c r="E182" s="18" t="s">
        <v>19</v>
      </c>
      <c r="F182" s="18" t="s">
        <v>19</v>
      </c>
      <c r="G182" s="18" t="s">
        <v>19</v>
      </c>
      <c r="H182" s="18" t="n">
        <v>3</v>
      </c>
      <c r="I182" s="18" t="n">
        <v>24</v>
      </c>
      <c r="J182" s="31" t="n">
        <f aca="false">IF(SUM(State_Quality_Summary!L182,State_Quality_Summary!N182)&gt;0, State_Quality_Summary!L182/SUM(State_Quality_Summary!L182,State_Quality_Summary!N182), 1)</f>
        <v>0.994301994301994</v>
      </c>
      <c r="K182" s="33" t="n">
        <v>0</v>
      </c>
      <c r="L182" s="33" t="n">
        <f aca="false">IF(SUM(State_Quality_Summary!L182,State_Quality_Summary!N182)&gt;0, State_Quality_Summary!N182/SUM(State_Quality_Summary!L182,State_Quality_Summary!N182), 0)</f>
        <v>0.0056980056980057</v>
      </c>
      <c r="M182" s="33" t="n">
        <v>0</v>
      </c>
      <c r="N182" s="16" t="str">
        <f aca="false">IF(L182&gt;0.05,"Poor Quality",IF(L182&gt;0.01,"Moderately Safe","Excellent"))</f>
        <v>Excellent</v>
      </c>
    </row>
    <row r="183" customFormat="false" ht="15" hidden="false" customHeight="true" outlineLevel="0" collapsed="false">
      <c r="A183" s="13" t="n">
        <v>2026</v>
      </c>
      <c r="B183" s="13" t="s">
        <v>194</v>
      </c>
      <c r="C183" s="13" t="s">
        <v>192</v>
      </c>
      <c r="D183" s="15" t="s">
        <v>19</v>
      </c>
      <c r="E183" s="15" t="s">
        <v>19</v>
      </c>
      <c r="F183" s="15" t="s">
        <v>19</v>
      </c>
      <c r="G183" s="15" t="s">
        <v>19</v>
      </c>
      <c r="H183" s="15" t="s">
        <v>19</v>
      </c>
      <c r="I183" s="15" t="n">
        <v>419</v>
      </c>
      <c r="J183" s="31" t="n">
        <f aca="false">IF(SUM(State_Quality_Summary!L183,State_Quality_Summary!N183)&gt;0, State_Quality_Summary!L183/SUM(State_Quality_Summary!L183,State_Quality_Summary!N183), 1)</f>
        <v>0.996899992036677</v>
      </c>
      <c r="K183" s="32" t="n">
        <v>0</v>
      </c>
      <c r="L183" s="32" t="n">
        <f aca="false">IF(SUM(State_Quality_Summary!L183,State_Quality_Summary!N183)&gt;0, State_Quality_Summary!N183/SUM(State_Quality_Summary!L183,State_Quality_Summary!N183), 0)</f>
        <v>0.00310000796332321</v>
      </c>
      <c r="M183" s="32" t="n">
        <v>0</v>
      </c>
      <c r="N183" s="13" t="str">
        <f aca="false">IF(L183&gt;0.05,"Poor Quality",IF(L183&gt;0.01,"Moderately Safe","Excellent"))</f>
        <v>Excellent</v>
      </c>
    </row>
    <row r="184" customFormat="false" ht="15" hidden="false" customHeight="true" outlineLevel="0" collapsed="false">
      <c r="A184" s="16" t="n">
        <v>2026</v>
      </c>
      <c r="B184" s="16" t="s">
        <v>38</v>
      </c>
      <c r="C184" s="16" t="s">
        <v>39</v>
      </c>
      <c r="D184" s="18" t="n">
        <v>40822</v>
      </c>
      <c r="E184" s="18" t="n">
        <v>40822</v>
      </c>
      <c r="F184" s="18" t="n">
        <v>1</v>
      </c>
      <c r="G184" s="18" t="s">
        <v>19</v>
      </c>
      <c r="H184" s="18" t="s">
        <v>19</v>
      </c>
      <c r="I184" s="18" t="n">
        <v>44</v>
      </c>
      <c r="J184" s="31" t="n">
        <f aca="false">IF(SUM(State_Quality_Summary!L184,State_Quality_Summary!N184)&gt;0, State_Quality_Summary!L184/SUM(State_Quality_Summary!L184,State_Quality_Summary!N184), 1)</f>
        <v>0.910500647717747</v>
      </c>
      <c r="K184" s="33" t="n">
        <v>0</v>
      </c>
      <c r="L184" s="33" t="n">
        <f aca="false">IF(SUM(State_Quality_Summary!L184,State_Quality_Summary!N184)&gt;0, State_Quality_Summary!N184/SUM(State_Quality_Summary!L184,State_Quality_Summary!N184), 0)</f>
        <v>0.0894993522822525</v>
      </c>
      <c r="M184" s="33" t="n">
        <v>0</v>
      </c>
      <c r="N184" s="16" t="str">
        <f aca="false">IF(L184&gt;0.05,"Poor Quality",IF(L184&gt;0.01,"Moderately Safe","Excellent"))</f>
        <v>Poor Quality</v>
      </c>
    </row>
    <row r="185" customFormat="false" ht="15" hidden="false" customHeight="true" outlineLevel="0" collapsed="false">
      <c r="A185" s="13" t="n">
        <v>2026</v>
      </c>
      <c r="B185" s="13" t="s">
        <v>197</v>
      </c>
      <c r="C185" s="13" t="s">
        <v>39</v>
      </c>
      <c r="D185" s="15" t="s">
        <v>19</v>
      </c>
      <c r="E185" s="15" t="s">
        <v>19</v>
      </c>
      <c r="F185" s="15" t="s">
        <v>19</v>
      </c>
      <c r="G185" s="15" t="s">
        <v>19</v>
      </c>
      <c r="H185" s="15" t="s">
        <v>19</v>
      </c>
      <c r="I185" s="15" t="n">
        <v>85</v>
      </c>
      <c r="J185" s="31" t="n">
        <f aca="false">IF(SUM(State_Quality_Summary!L185,State_Quality_Summary!N185)&gt;0, State_Quality_Summary!L185/SUM(State_Quality_Summary!L185,State_Quality_Summary!N185), 1)</f>
        <v>1</v>
      </c>
      <c r="K185" s="32" t="n">
        <v>0</v>
      </c>
      <c r="L185" s="32" t="n">
        <f aca="false">IF(SUM(State_Quality_Summary!L185,State_Quality_Summary!N185)&gt;0, State_Quality_Summary!N185/SUM(State_Quality_Summary!L185,State_Quality_Summary!N185), 0)</f>
        <v>0</v>
      </c>
      <c r="M185" s="32" t="n">
        <v>0</v>
      </c>
      <c r="N185" s="13" t="str">
        <f aca="false">IF(L185&gt;0.05,"Poor Quality",IF(L185&gt;0.01,"Moderately Safe","Excellent"))</f>
        <v>Excellent</v>
      </c>
    </row>
    <row r="186" customFormat="false" ht="15" hidden="false" customHeight="true" outlineLevel="0" collapsed="false">
      <c r="A186" s="16" t="n">
        <v>2026</v>
      </c>
      <c r="B186" s="16" t="s">
        <v>141</v>
      </c>
      <c r="C186" s="16" t="s">
        <v>39</v>
      </c>
      <c r="D186" s="18" t="s">
        <v>19</v>
      </c>
      <c r="E186" s="18" t="s">
        <v>19</v>
      </c>
      <c r="F186" s="18" t="s">
        <v>19</v>
      </c>
      <c r="G186" s="18" t="s">
        <v>19</v>
      </c>
      <c r="H186" s="18" t="s">
        <v>19</v>
      </c>
      <c r="I186" s="18" t="n">
        <v>98</v>
      </c>
      <c r="J186" s="31" t="n">
        <f aca="false">IF(SUM(State_Quality_Summary!L186,State_Quality_Summary!N186)&gt;0, State_Quality_Summary!L186/SUM(State_Quality_Summary!L186,State_Quality_Summary!N186), 1)</f>
        <v>0.9992</v>
      </c>
      <c r="K186" s="33" t="n">
        <v>0</v>
      </c>
      <c r="L186" s="33" t="n">
        <f aca="false">IF(SUM(State_Quality_Summary!L186,State_Quality_Summary!N186)&gt;0, State_Quality_Summary!N186/SUM(State_Quality_Summary!L186,State_Quality_Summary!N186), 0)</f>
        <v>0.0008</v>
      </c>
      <c r="M186" s="33" t="n">
        <v>0</v>
      </c>
      <c r="N186" s="16" t="str">
        <f aca="false">IF(L186&gt;0.05,"Poor Quality",IF(L186&gt;0.01,"Moderately Safe","Excellent"))</f>
        <v>Excellent</v>
      </c>
    </row>
    <row r="187" customFormat="false" ht="15" hidden="false" customHeight="true" outlineLevel="0" collapsed="false">
      <c r="A187" s="13" t="n">
        <v>2026</v>
      </c>
      <c r="B187" s="13" t="s">
        <v>71</v>
      </c>
      <c r="C187" s="13" t="s">
        <v>50</v>
      </c>
      <c r="D187" s="15" t="s">
        <v>19</v>
      </c>
      <c r="E187" s="15" t="s">
        <v>19</v>
      </c>
      <c r="F187" s="15" t="s">
        <v>19</v>
      </c>
      <c r="G187" s="15" t="s">
        <v>19</v>
      </c>
      <c r="H187" s="15" t="s">
        <v>19</v>
      </c>
      <c r="I187" s="15" t="n">
        <v>39</v>
      </c>
      <c r="J187" s="31" t="n">
        <f aca="false">IF(SUM(State_Quality_Summary!L187,State_Quality_Summary!N187)&gt;0, State_Quality_Summary!L187/SUM(State_Quality_Summary!L187,State_Quality_Summary!N187), 1)</f>
        <v>0.9998</v>
      </c>
      <c r="K187" s="32" t="n">
        <v>0</v>
      </c>
      <c r="L187" s="32" t="n">
        <f aca="false">IF(SUM(State_Quality_Summary!L187,State_Quality_Summary!N187)&gt;0, State_Quality_Summary!N187/SUM(State_Quality_Summary!L187,State_Quality_Summary!N187), 0)</f>
        <v>0.0002</v>
      </c>
      <c r="M187" s="32" t="n">
        <v>0</v>
      </c>
      <c r="N187" s="13" t="str">
        <f aca="false">IF(L187&gt;0.05,"Poor Quality",IF(L187&gt;0.01,"Moderately Safe","Excellent"))</f>
        <v>Excellent</v>
      </c>
    </row>
    <row r="188" customFormat="false" ht="15" hidden="false" customHeight="true" outlineLevel="0" collapsed="false">
      <c r="A188" s="16" t="n">
        <v>2026</v>
      </c>
      <c r="B188" s="16" t="s">
        <v>111</v>
      </c>
      <c r="C188" s="16" t="s">
        <v>180</v>
      </c>
      <c r="D188" s="18" t="n">
        <v>11</v>
      </c>
      <c r="E188" s="18" t="s">
        <v>19</v>
      </c>
      <c r="F188" s="18" t="n">
        <v>1</v>
      </c>
      <c r="G188" s="18" t="s">
        <v>19</v>
      </c>
      <c r="H188" s="18" t="n">
        <v>11</v>
      </c>
      <c r="I188" s="18" t="n">
        <v>107</v>
      </c>
      <c r="J188" s="31" t="n">
        <f aca="false">IF(SUM(State_Quality_Summary!L188,State_Quality_Summary!N188)&gt;0, State_Quality_Summary!L188/SUM(State_Quality_Summary!L188,State_Quality_Summary!N188), 1)</f>
        <v>0.960099908813385</v>
      </c>
      <c r="K188" s="33" t="n">
        <v>0</v>
      </c>
      <c r="L188" s="33" t="n">
        <f aca="false">IF(SUM(State_Quality_Summary!L188,State_Quality_Summary!N188)&gt;0, State_Quality_Summary!N188/SUM(State_Quality_Summary!L188,State_Quality_Summary!N188), 0)</f>
        <v>0.0399000911866154</v>
      </c>
      <c r="M188" s="33" t="n">
        <v>0</v>
      </c>
      <c r="N188" s="16" t="str">
        <f aca="false">IF(L188&gt;0.05,"Poor Quality",IF(L188&gt;0.01,"Moderately Safe","Excellent"))</f>
        <v>Moderately Safe</v>
      </c>
    </row>
    <row r="189" customFormat="false" ht="15" hidden="false" customHeight="true" outlineLevel="0" collapsed="false">
      <c r="A189" s="13" t="n">
        <v>2026</v>
      </c>
      <c r="B189" s="13" t="s">
        <v>200</v>
      </c>
      <c r="C189" s="13" t="s">
        <v>180</v>
      </c>
      <c r="D189" s="15" t="s">
        <v>19</v>
      </c>
      <c r="E189" s="15" t="s">
        <v>19</v>
      </c>
      <c r="F189" s="15" t="s">
        <v>19</v>
      </c>
      <c r="G189" s="15" t="s">
        <v>19</v>
      </c>
      <c r="H189" s="15" t="s">
        <v>19</v>
      </c>
      <c r="I189" s="15" t="n">
        <v>97</v>
      </c>
      <c r="J189" s="31" t="n">
        <f aca="false">IF(SUM(State_Quality_Summary!L189,State_Quality_Summary!N189)&gt;0, State_Quality_Summary!L189/SUM(State_Quality_Summary!L189,State_Quality_Summary!N189), 1)</f>
        <v>0.903399978616487</v>
      </c>
      <c r="K189" s="32" t="n">
        <v>0</v>
      </c>
      <c r="L189" s="32" t="n">
        <f aca="false">IF(SUM(State_Quality_Summary!L189,State_Quality_Summary!N189)&gt;0, State_Quality_Summary!N189/SUM(State_Quality_Summary!L189,State_Quality_Summary!N189), 0)</f>
        <v>0.0966000213835133</v>
      </c>
      <c r="M189" s="32" t="n">
        <v>0</v>
      </c>
      <c r="N189" s="13" t="str">
        <f aca="false">IF(L189&gt;0.05,"Poor Quality",IF(L189&gt;0.01,"Moderately Safe","Excellent"))</f>
        <v>Poor Quality</v>
      </c>
    </row>
    <row r="190" customFormat="false" ht="15" hidden="false" customHeight="true" outlineLevel="0" collapsed="false">
      <c r="A190" s="16" t="n">
        <v>2026</v>
      </c>
      <c r="B190" s="16" t="s">
        <v>202</v>
      </c>
      <c r="C190" s="16" t="s">
        <v>177</v>
      </c>
      <c r="D190" s="18" t="s">
        <v>19</v>
      </c>
      <c r="E190" s="18" t="s">
        <v>19</v>
      </c>
      <c r="F190" s="18" t="s">
        <v>19</v>
      </c>
      <c r="G190" s="18" t="s">
        <v>19</v>
      </c>
      <c r="H190" s="18" t="s">
        <v>19</v>
      </c>
      <c r="I190" s="18" t="n">
        <v>9</v>
      </c>
      <c r="J190" s="31" t="n">
        <f aca="false">IF(SUM(State_Quality_Summary!L190,State_Quality_Summary!N190)&gt;0, State_Quality_Summary!L190/SUM(State_Quality_Summary!L190,State_Quality_Summary!N190), 1)</f>
        <v>0.978310502283105</v>
      </c>
      <c r="K190" s="33" t="n">
        <v>0</v>
      </c>
      <c r="L190" s="33" t="n">
        <f aca="false">IF(SUM(State_Quality_Summary!L190,State_Quality_Summary!N190)&gt;0, State_Quality_Summary!N190/SUM(State_Quality_Summary!L190,State_Quality_Summary!N190), 0)</f>
        <v>0.021689497716895</v>
      </c>
      <c r="M190" s="33" t="n">
        <v>0</v>
      </c>
      <c r="N190" s="16" t="str">
        <f aca="false">IF(L190&gt;0.05,"Poor Quality",IF(L190&gt;0.01,"Moderately Safe","Excellent"))</f>
        <v>Moderately Safe</v>
      </c>
    </row>
    <row r="191" customFormat="false" ht="15" hidden="false" customHeight="true" outlineLevel="0" collapsed="false">
      <c r="A191" s="13" t="n">
        <v>2026</v>
      </c>
      <c r="B191" s="13" t="s">
        <v>204</v>
      </c>
      <c r="C191" s="13" t="s">
        <v>177</v>
      </c>
      <c r="D191" s="15" t="s">
        <v>19</v>
      </c>
      <c r="E191" s="15" t="s">
        <v>19</v>
      </c>
      <c r="F191" s="15" t="s">
        <v>19</v>
      </c>
      <c r="G191" s="15" t="s">
        <v>19</v>
      </c>
      <c r="H191" s="15" t="s">
        <v>19</v>
      </c>
      <c r="I191" s="15" t="n">
        <v>9</v>
      </c>
      <c r="J191" s="31" t="n">
        <f aca="false">IF(SUM(State_Quality_Summary!L191,State_Quality_Summary!N191)&gt;0, State_Quality_Summary!L191/SUM(State_Quality_Summary!L191,State_Quality_Summary!N191), 1)</f>
        <v>0.999099909990999</v>
      </c>
      <c r="K191" s="32" t="n">
        <v>0</v>
      </c>
      <c r="L191" s="32" t="n">
        <f aca="false">IF(SUM(State_Quality_Summary!L191,State_Quality_Summary!N191)&gt;0, State_Quality_Summary!N191/SUM(State_Quality_Summary!L191,State_Quality_Summary!N191), 0)</f>
        <v>0.0009000900090009</v>
      </c>
      <c r="M191" s="32" t="n">
        <v>0</v>
      </c>
      <c r="N191" s="13" t="str">
        <f aca="false">IF(L191&gt;0.05,"Poor Quality",IF(L191&gt;0.01,"Moderately Safe","Excellent"))</f>
        <v>Excellent</v>
      </c>
    </row>
    <row r="192" customFormat="false" ht="15" hidden="false" customHeight="true" outlineLevel="0" collapsed="false">
      <c r="A192" s="16" t="n">
        <v>2026</v>
      </c>
      <c r="B192" s="16" t="s">
        <v>206</v>
      </c>
      <c r="C192" s="16" t="s">
        <v>188</v>
      </c>
      <c r="D192" s="18" t="s">
        <v>19</v>
      </c>
      <c r="E192" s="18" t="s">
        <v>19</v>
      </c>
      <c r="F192" s="18" t="s">
        <v>19</v>
      </c>
      <c r="G192" s="18" t="s">
        <v>19</v>
      </c>
      <c r="H192" s="18" t="s">
        <v>19</v>
      </c>
      <c r="I192" s="18" t="n">
        <v>187</v>
      </c>
      <c r="J192" s="31" t="n">
        <f aca="false">IF(SUM(State_Quality_Summary!L192,State_Quality_Summary!N192)&gt;0, State_Quality_Summary!L192/SUM(State_Quality_Summary!L192,State_Quality_Summary!N192), 1)</f>
        <v>0.9997</v>
      </c>
      <c r="K192" s="33" t="n">
        <v>0</v>
      </c>
      <c r="L192" s="33" t="n">
        <f aca="false">IF(SUM(State_Quality_Summary!L192,State_Quality_Summary!N192)&gt;0, State_Quality_Summary!N192/SUM(State_Quality_Summary!L192,State_Quality_Summary!N192), 0)</f>
        <v>0.0003</v>
      </c>
      <c r="M192" s="33" t="n">
        <v>0</v>
      </c>
      <c r="N192" s="16" t="str">
        <f aca="false">IF(L192&gt;0.05,"Poor Quality",IF(L192&gt;0.01,"Moderately Safe","Excellent"))</f>
        <v>Excellent</v>
      </c>
    </row>
    <row r="193" customFormat="false" ht="15" hidden="false" customHeight="true" outlineLevel="0" collapsed="false">
      <c r="A193" s="13" t="n">
        <v>2026</v>
      </c>
      <c r="B193" s="13" t="s">
        <v>208</v>
      </c>
      <c r="C193" s="13" t="s">
        <v>192</v>
      </c>
      <c r="D193" s="15" t="n">
        <v>30</v>
      </c>
      <c r="E193" s="15" t="s">
        <v>19</v>
      </c>
      <c r="F193" s="15" t="n">
        <v>1</v>
      </c>
      <c r="G193" s="15" t="s">
        <v>19</v>
      </c>
      <c r="H193" s="15" t="n">
        <v>30</v>
      </c>
      <c r="I193" s="15" t="n">
        <v>230</v>
      </c>
      <c r="J193" s="31" t="n">
        <f aca="false">IF(SUM(State_Quality_Summary!L193,State_Quality_Summary!N193)&gt;0, State_Quality_Summary!L193/SUM(State_Quality_Summary!L193,State_Quality_Summary!N193), 1)</f>
        <v>0.955599923145681</v>
      </c>
      <c r="K193" s="32" t="n">
        <v>0</v>
      </c>
      <c r="L193" s="32" t="n">
        <f aca="false">IF(SUM(State_Quality_Summary!L193,State_Quality_Summary!N193)&gt;0, State_Quality_Summary!N193/SUM(State_Quality_Summary!L193,State_Quality_Summary!N193), 0)</f>
        <v>0.0444000768543193</v>
      </c>
      <c r="M193" s="32" t="n">
        <v>0</v>
      </c>
      <c r="N193" s="13" t="str">
        <f aca="false">IF(L193&gt;0.05,"Poor Quality",IF(L193&gt;0.01,"Moderately Safe","Excellent"))</f>
        <v>Moderately Safe</v>
      </c>
    </row>
    <row r="194" customFormat="false" ht="15" hidden="false" customHeight="true" outlineLevel="0" collapsed="false">
      <c r="A194" s="16" t="n">
        <v>2026</v>
      </c>
      <c r="B194" s="16" t="s">
        <v>210</v>
      </c>
      <c r="C194" s="16" t="s">
        <v>183</v>
      </c>
      <c r="D194" s="18" t="s">
        <v>19</v>
      </c>
      <c r="E194" s="18" t="s">
        <v>19</v>
      </c>
      <c r="F194" s="18" t="s">
        <v>19</v>
      </c>
      <c r="G194" s="18" t="s">
        <v>19</v>
      </c>
      <c r="H194" s="18" t="s">
        <v>19</v>
      </c>
      <c r="I194" s="18" t="n">
        <v>14</v>
      </c>
      <c r="J194" s="31" t="n">
        <f aca="false">IF(SUM(State_Quality_Summary!L194,State_Quality_Summary!N194)&gt;0, State_Quality_Summary!L194/SUM(State_Quality_Summary!L194,State_Quality_Summary!N194), 1)</f>
        <v>1</v>
      </c>
      <c r="K194" s="33" t="n">
        <v>0</v>
      </c>
      <c r="L194" s="33" t="n">
        <f aca="false">IF(SUM(State_Quality_Summary!L194,State_Quality_Summary!N194)&gt;0, State_Quality_Summary!N194/SUM(State_Quality_Summary!L194,State_Quality_Summary!N194), 0)</f>
        <v>0</v>
      </c>
      <c r="M194" s="33" t="n">
        <v>0</v>
      </c>
      <c r="N194" s="16" t="str">
        <f aca="false">IF(L194&gt;0.05,"Poor Quality",IF(L194&gt;0.01,"Moderately Safe","Excellent"))</f>
        <v>Excellent</v>
      </c>
    </row>
    <row r="195" customFormat="false" ht="15" hidden="false" customHeight="true" outlineLevel="0" collapsed="false">
      <c r="A195" s="13" t="n">
        <v>2026</v>
      </c>
      <c r="B195" s="13" t="s">
        <v>211</v>
      </c>
      <c r="C195" s="13" t="s">
        <v>183</v>
      </c>
      <c r="D195" s="15" t="s">
        <v>19</v>
      </c>
      <c r="E195" s="15" t="s">
        <v>19</v>
      </c>
      <c r="F195" s="15" t="s">
        <v>19</v>
      </c>
      <c r="G195" s="15" t="s">
        <v>19</v>
      </c>
      <c r="H195" s="15" t="s">
        <v>19</v>
      </c>
      <c r="I195" s="15" t="n">
        <v>30</v>
      </c>
      <c r="J195" s="31" t="n">
        <f aca="false">IF(SUM(State_Quality_Summary!L195,State_Quality_Summary!N195)&gt;0, State_Quality_Summary!L195/SUM(State_Quality_Summary!L195,State_Quality_Summary!N195), 1)</f>
        <v>0.9955</v>
      </c>
      <c r="K195" s="32" t="n">
        <v>0</v>
      </c>
      <c r="L195" s="32" t="n">
        <f aca="false">IF(SUM(State_Quality_Summary!L195,State_Quality_Summary!N195)&gt;0, State_Quality_Summary!N195/SUM(State_Quality_Summary!L195,State_Quality_Summary!N195), 0)</f>
        <v>0.0045</v>
      </c>
      <c r="M195" s="32" t="n">
        <v>0</v>
      </c>
      <c r="N195" s="13" t="str">
        <f aca="false">IF(L195&gt;0.05,"Poor Quality",IF(L195&gt;0.01,"Moderately Safe","Excellent"))</f>
        <v>Excellent</v>
      </c>
    </row>
    <row r="196" customFormat="false" ht="15" hidden="false" customHeight="true" outlineLevel="0" collapsed="false">
      <c r="A196" s="16" t="n">
        <v>2026</v>
      </c>
      <c r="B196" s="16" t="s">
        <v>213</v>
      </c>
      <c r="C196" s="16" t="s">
        <v>183</v>
      </c>
      <c r="D196" s="18" t="s">
        <v>19</v>
      </c>
      <c r="E196" s="18" t="s">
        <v>19</v>
      </c>
      <c r="F196" s="18" t="s">
        <v>19</v>
      </c>
      <c r="G196" s="18" t="s">
        <v>19</v>
      </c>
      <c r="H196" s="18" t="s">
        <v>19</v>
      </c>
      <c r="I196" s="18" t="n">
        <v>28</v>
      </c>
      <c r="J196" s="31" t="n">
        <f aca="false">IF(SUM(State_Quality_Summary!L196,State_Quality_Summary!N196)&gt;0, State_Quality_Summary!L196/SUM(State_Quality_Summary!L196,State_Quality_Summary!N196), 1)</f>
        <v>0.946694357909311</v>
      </c>
      <c r="K196" s="33" t="n">
        <v>0</v>
      </c>
      <c r="L196" s="33" t="n">
        <f aca="false">IF(SUM(State_Quality_Summary!L196,State_Quality_Summary!N196)&gt;0, State_Quality_Summary!N196/SUM(State_Quality_Summary!L196,State_Quality_Summary!N196), 0)</f>
        <v>0.0533056420906888</v>
      </c>
      <c r="M196" s="33" t="n">
        <v>0</v>
      </c>
      <c r="N196" s="16" t="str">
        <f aca="false">IF(L196&gt;0.05,"Poor Quality",IF(L196&gt;0.01,"Moderately Safe","Excellent"))</f>
        <v>Poor Quality</v>
      </c>
    </row>
    <row r="197" customFormat="false" ht="15" hidden="false" customHeight="true" outlineLevel="0" collapsed="false">
      <c r="A197" s="13" t="n">
        <v>2026</v>
      </c>
      <c r="B197" s="13" t="s">
        <v>215</v>
      </c>
      <c r="C197" s="13" t="s">
        <v>183</v>
      </c>
      <c r="D197" s="15" t="s">
        <v>19</v>
      </c>
      <c r="E197" s="15" t="s">
        <v>19</v>
      </c>
      <c r="F197" s="15" t="s">
        <v>19</v>
      </c>
      <c r="G197" s="15" t="s">
        <v>19</v>
      </c>
      <c r="H197" s="15" t="s">
        <v>19</v>
      </c>
      <c r="I197" s="15" t="n">
        <v>12</v>
      </c>
      <c r="J197" s="31" t="n">
        <f aca="false">IF(SUM(State_Quality_Summary!L197,State_Quality_Summary!N197)&gt;0, State_Quality_Summary!L197/SUM(State_Quality_Summary!L197,State_Quality_Summary!N197), 1)</f>
        <v>1</v>
      </c>
      <c r="K197" s="32" t="n">
        <v>0</v>
      </c>
      <c r="L197" s="32" t="n">
        <f aca="false">IF(SUM(State_Quality_Summary!L197,State_Quality_Summary!N197)&gt;0, State_Quality_Summary!N197/SUM(State_Quality_Summary!L197,State_Quality_Summary!N197), 0)</f>
        <v>0</v>
      </c>
      <c r="M197" s="32" t="n">
        <v>0</v>
      </c>
      <c r="N197" s="13" t="str">
        <f aca="false">IF(L197&gt;0.05,"Poor Quality",IF(L197&gt;0.01,"Moderately Safe","Excellent"))</f>
        <v>Excellent</v>
      </c>
    </row>
    <row r="198" customFormat="false" ht="15" hidden="false" customHeight="true" outlineLevel="0" collapsed="false">
      <c r="A198" s="16" t="n">
        <v>2026</v>
      </c>
      <c r="B198" s="16" t="s">
        <v>49</v>
      </c>
      <c r="C198" s="16" t="s">
        <v>50</v>
      </c>
      <c r="D198" s="18" t="n">
        <v>1357</v>
      </c>
      <c r="E198" s="18" t="s">
        <v>19</v>
      </c>
      <c r="F198" s="18" t="n">
        <v>268</v>
      </c>
      <c r="G198" s="18" t="s">
        <v>19</v>
      </c>
      <c r="H198" s="18" t="n">
        <v>3</v>
      </c>
      <c r="I198" s="18" t="n">
        <v>160</v>
      </c>
      <c r="J198" s="31" t="n">
        <f aca="false">IF(SUM(State_Quality_Summary!L198,State_Quality_Summary!N198)&gt;0, State_Quality_Summary!L198/SUM(State_Quality_Summary!L198,State_Quality_Summary!N198), 1)</f>
        <v>0.990400044781132</v>
      </c>
      <c r="K198" s="33" t="n">
        <v>0</v>
      </c>
      <c r="L198" s="33" t="n">
        <f aca="false">IF(SUM(State_Quality_Summary!L198,State_Quality_Summary!N198)&gt;0, State_Quality_Summary!N198/SUM(State_Quality_Summary!L198,State_Quality_Summary!N198), 0)</f>
        <v>0.00959995521886778</v>
      </c>
      <c r="M198" s="33" t="n">
        <v>0</v>
      </c>
      <c r="N198" s="16" t="str">
        <f aca="false">IF(L198&gt;0.05,"Poor Quality",IF(L198&gt;0.01,"Moderately Safe","Excellent"))</f>
        <v>Excellent</v>
      </c>
    </row>
    <row r="199" customFormat="false" ht="15" hidden="false" customHeight="true" outlineLevel="0" collapsed="false">
      <c r="A199" s="13" t="n">
        <v>2026</v>
      </c>
      <c r="B199" s="13" t="s">
        <v>217</v>
      </c>
      <c r="C199" s="13" t="s">
        <v>177</v>
      </c>
      <c r="D199" s="15" t="s">
        <v>19</v>
      </c>
      <c r="E199" s="15" t="s">
        <v>19</v>
      </c>
      <c r="F199" s="15" t="s">
        <v>19</v>
      </c>
      <c r="G199" s="15" t="s">
        <v>19</v>
      </c>
      <c r="H199" s="15" t="s">
        <v>19</v>
      </c>
      <c r="I199" s="15" t="n">
        <v>2</v>
      </c>
      <c r="J199" s="31" t="n">
        <f aca="false">IF(SUM(State_Quality_Summary!L199,State_Quality_Summary!N199)&gt;0, State_Quality_Summary!L199/SUM(State_Quality_Summary!L199,State_Quality_Summary!N199), 1)</f>
        <v>1</v>
      </c>
      <c r="K199" s="32" t="n">
        <v>0</v>
      </c>
      <c r="L199" s="32" t="n">
        <f aca="false">IF(SUM(State_Quality_Summary!L199,State_Quality_Summary!N199)&gt;0, State_Quality_Summary!N199/SUM(State_Quality_Summary!L199,State_Quality_Summary!N199), 0)</f>
        <v>0</v>
      </c>
      <c r="M199" s="32" t="n">
        <v>0</v>
      </c>
      <c r="N199" s="13" t="str">
        <f aca="false">IF(L199&gt;0.05,"Poor Quality",IF(L199&gt;0.01,"Moderately Safe","Excellent"))</f>
        <v>Excellent</v>
      </c>
    </row>
    <row r="200" customFormat="false" ht="15" hidden="false" customHeight="true" outlineLevel="0" collapsed="false">
      <c r="A200" s="16" t="n">
        <v>2026</v>
      </c>
      <c r="B200" s="16" t="s">
        <v>218</v>
      </c>
      <c r="C200" s="16" t="s">
        <v>39</v>
      </c>
      <c r="D200" s="18" t="s">
        <v>19</v>
      </c>
      <c r="E200" s="18" t="s">
        <v>19</v>
      </c>
      <c r="F200" s="18" t="s">
        <v>19</v>
      </c>
      <c r="G200" s="18" t="s">
        <v>19</v>
      </c>
      <c r="H200" s="18" t="s">
        <v>19</v>
      </c>
      <c r="I200" s="18" t="n">
        <v>33</v>
      </c>
      <c r="J200" s="31" t="n">
        <f aca="false">IF(SUM(State_Quality_Summary!L200,State_Quality_Summary!N200)&gt;0, State_Quality_Summary!L200/SUM(State_Quality_Summary!L200,State_Quality_Summary!N200), 1)</f>
        <v>0.988300023201087</v>
      </c>
      <c r="K200" s="33" t="n">
        <v>0</v>
      </c>
      <c r="L200" s="33" t="n">
        <f aca="false">IF(SUM(State_Quality_Summary!L200,State_Quality_Summary!N200)&gt;0, State_Quality_Summary!N200/SUM(State_Quality_Summary!L200,State_Quality_Summary!N200), 0)</f>
        <v>0.0116999767989129</v>
      </c>
      <c r="M200" s="33" t="n">
        <v>0</v>
      </c>
      <c r="N200" s="16" t="str">
        <f aca="false">IF(L200&gt;0.05,"Poor Quality",IF(L200&gt;0.01,"Moderately Safe","Excellent"))</f>
        <v>Moderately Safe</v>
      </c>
    </row>
    <row r="201" customFormat="false" ht="15" hidden="false" customHeight="true" outlineLevel="0" collapsed="false">
      <c r="A201" s="13" t="n">
        <v>2026</v>
      </c>
      <c r="B201" s="13" t="s">
        <v>114</v>
      </c>
      <c r="C201" s="13" t="s">
        <v>192</v>
      </c>
      <c r="D201" s="15" t="s">
        <v>19</v>
      </c>
      <c r="E201" s="15" t="s">
        <v>19</v>
      </c>
      <c r="F201" s="15" t="s">
        <v>19</v>
      </c>
      <c r="G201" s="15" t="s">
        <v>19</v>
      </c>
      <c r="H201" s="15" t="s">
        <v>19</v>
      </c>
      <c r="I201" s="15" t="n">
        <v>80</v>
      </c>
      <c r="J201" s="31" t="n">
        <f aca="false">IF(SUM(State_Quality_Summary!L201,State_Quality_Summary!N201)&gt;0, State_Quality_Summary!L201/SUM(State_Quality_Summary!L201,State_Quality_Summary!N201), 1)</f>
        <v>0.897401732178548</v>
      </c>
      <c r="K201" s="32" t="n">
        <v>0</v>
      </c>
      <c r="L201" s="32" t="n">
        <f aca="false">IF(SUM(State_Quality_Summary!L201,State_Quality_Summary!N201)&gt;0, State_Quality_Summary!N201/SUM(State_Quality_Summary!L201,State_Quality_Summary!N201), 0)</f>
        <v>0.102598267821452</v>
      </c>
      <c r="M201" s="32" t="n">
        <v>0</v>
      </c>
      <c r="N201" s="13" t="str">
        <f aca="false">IF(L201&gt;0.05,"Poor Quality",IF(L201&gt;0.01,"Moderately Safe","Excellent"))</f>
        <v>Poor Quality</v>
      </c>
    </row>
    <row r="202" customFormat="false" ht="15" hidden="false" customHeight="true" outlineLevel="0" collapsed="false">
      <c r="A202" s="16" t="n">
        <v>2026</v>
      </c>
      <c r="B202" s="16" t="s">
        <v>221</v>
      </c>
      <c r="C202" s="16" t="s">
        <v>183</v>
      </c>
      <c r="D202" s="18" t="s">
        <v>19</v>
      </c>
      <c r="E202" s="18" t="s">
        <v>19</v>
      </c>
      <c r="F202" s="18" t="s">
        <v>19</v>
      </c>
      <c r="G202" s="18" t="s">
        <v>19</v>
      </c>
      <c r="H202" s="18" t="s">
        <v>19</v>
      </c>
      <c r="I202" s="18" t="n">
        <v>2</v>
      </c>
      <c r="J202" s="31" t="n">
        <f aca="false">IF(SUM(State_Quality_Summary!L202,State_Quality_Summary!N202)&gt;0, State_Quality_Summary!L202/SUM(State_Quality_Summary!L202,State_Quality_Summary!N202), 1)</f>
        <v>0.5</v>
      </c>
      <c r="K202" s="33" t="n">
        <v>0</v>
      </c>
      <c r="L202" s="33" t="n">
        <f aca="false">IF(SUM(State_Quality_Summary!L202,State_Quality_Summary!N202)&gt;0, State_Quality_Summary!N202/SUM(State_Quality_Summary!L202,State_Quality_Summary!N202), 0)</f>
        <v>0.5</v>
      </c>
      <c r="M202" s="33" t="n">
        <v>0</v>
      </c>
      <c r="N202" s="16" t="str">
        <f aca="false">IF(L202&gt;0.05,"Poor Quality",IF(L202&gt;0.01,"Moderately Safe","Excellent"))</f>
        <v>Poor Quality</v>
      </c>
    </row>
    <row r="203" customFormat="false" ht="15" hidden="false" customHeight="true" outlineLevel="0" collapsed="false">
      <c r="A203" s="13" t="n">
        <v>2026</v>
      </c>
      <c r="B203" s="13" t="s">
        <v>148</v>
      </c>
      <c r="C203" s="13" t="s">
        <v>180</v>
      </c>
      <c r="D203" s="15" t="s">
        <v>19</v>
      </c>
      <c r="E203" s="15" t="s">
        <v>19</v>
      </c>
      <c r="F203" s="15" t="s">
        <v>19</v>
      </c>
      <c r="G203" s="15" t="s">
        <v>19</v>
      </c>
      <c r="H203" s="15" t="s">
        <v>19</v>
      </c>
      <c r="I203" s="15" t="n">
        <v>113</v>
      </c>
      <c r="J203" s="31" t="n">
        <f aca="false">IF(SUM(State_Quality_Summary!L203,State_Quality_Summary!N203)&gt;0, State_Quality_Summary!L203/SUM(State_Quality_Summary!L203,State_Quality_Summary!N203), 1)</f>
        <v>0.9998</v>
      </c>
      <c r="K203" s="32" t="n">
        <v>0</v>
      </c>
      <c r="L203" s="32" t="n">
        <f aca="false">IF(SUM(State_Quality_Summary!L203,State_Quality_Summary!N203)&gt;0, State_Quality_Summary!N203/SUM(State_Quality_Summary!L203,State_Quality_Summary!N203), 0)</f>
        <v>0.0002</v>
      </c>
      <c r="M203" s="32" t="n">
        <v>0</v>
      </c>
      <c r="N203" s="13" t="str">
        <f aca="false">IF(L203&gt;0.05,"Poor Quality",IF(L203&gt;0.01,"Moderately Safe","Excellent"))</f>
        <v>Excellent</v>
      </c>
    </row>
    <row r="204" customFormat="false" ht="15" hidden="false" customHeight="true" outlineLevel="0" collapsed="false">
      <c r="A204" s="16" t="n">
        <v>2026</v>
      </c>
      <c r="B204" s="16" t="s">
        <v>108</v>
      </c>
      <c r="C204" s="16" t="s">
        <v>180</v>
      </c>
      <c r="D204" s="18" t="s">
        <v>19</v>
      </c>
      <c r="E204" s="18" t="s">
        <v>19</v>
      </c>
      <c r="F204" s="18" t="s">
        <v>19</v>
      </c>
      <c r="G204" s="18" t="s">
        <v>19</v>
      </c>
      <c r="H204" s="18" t="s">
        <v>19</v>
      </c>
      <c r="I204" s="18" t="n">
        <v>116</v>
      </c>
      <c r="J204" s="31" t="n">
        <f aca="false">IF(SUM(State_Quality_Summary!L204,State_Quality_Summary!N204)&gt;0, State_Quality_Summary!L204/SUM(State_Quality_Summary!L204,State_Quality_Summary!N204), 1)</f>
        <v>1</v>
      </c>
      <c r="K204" s="33" t="n">
        <v>0</v>
      </c>
      <c r="L204" s="33" t="n">
        <f aca="false">IF(SUM(State_Quality_Summary!L204,State_Quality_Summary!N204)&gt;0, State_Quality_Summary!N204/SUM(State_Quality_Summary!L204,State_Quality_Summary!N204), 0)</f>
        <v>0</v>
      </c>
      <c r="M204" s="33" t="n">
        <v>0</v>
      </c>
      <c r="N204" s="16" t="str">
        <f aca="false">IF(L204&gt;0.05,"Poor Quality",IF(L204&gt;0.01,"Moderately Safe","Excellent"))</f>
        <v>Excellent</v>
      </c>
    </row>
    <row r="205" customFormat="false" ht="15" hidden="false" customHeight="true" outlineLevel="0" collapsed="false">
      <c r="A205" s="13" t="n">
        <v>2026</v>
      </c>
      <c r="B205" s="13" t="s">
        <v>223</v>
      </c>
      <c r="C205" s="13" t="s">
        <v>183</v>
      </c>
      <c r="D205" s="15" t="s">
        <v>19</v>
      </c>
      <c r="E205" s="15" t="s">
        <v>19</v>
      </c>
      <c r="F205" s="15" t="s">
        <v>19</v>
      </c>
      <c r="G205" s="15" t="s">
        <v>19</v>
      </c>
      <c r="H205" s="15" t="s">
        <v>19</v>
      </c>
      <c r="I205" s="15" t="n">
        <v>21</v>
      </c>
      <c r="J205" s="31" t="n">
        <f aca="false">IF(SUM(State_Quality_Summary!L205,State_Quality_Summary!N205)&gt;0, State_Quality_Summary!L205/SUM(State_Quality_Summary!L205,State_Quality_Summary!N205), 1)</f>
        <v>0.998899986799842</v>
      </c>
      <c r="K205" s="32" t="n">
        <v>0</v>
      </c>
      <c r="L205" s="32" t="n">
        <f aca="false">IF(SUM(State_Quality_Summary!L205,State_Quality_Summary!N205)&gt;0, State_Quality_Summary!N205/SUM(State_Quality_Summary!L205,State_Quality_Summary!N205), 0)</f>
        <v>0.0011000132001584</v>
      </c>
      <c r="M205" s="32" t="n">
        <v>0</v>
      </c>
      <c r="N205" s="13" t="str">
        <f aca="false">IF(L205&gt;0.05,"Poor Quality",IF(L205&gt;0.01,"Moderately Safe","Excellent"))</f>
        <v>Excellent</v>
      </c>
    </row>
    <row r="206" customFormat="false" ht="15" hidden="false" customHeight="true" outlineLevel="0" collapsed="false">
      <c r="A206" s="16" t="n">
        <v>2026</v>
      </c>
      <c r="B206" s="16" t="s">
        <v>67</v>
      </c>
      <c r="C206" s="16" t="s">
        <v>39</v>
      </c>
      <c r="D206" s="18" t="n">
        <v>22</v>
      </c>
      <c r="E206" s="18" t="s">
        <v>19</v>
      </c>
      <c r="F206" s="18" t="n">
        <v>8</v>
      </c>
      <c r="G206" s="18" t="s">
        <v>19</v>
      </c>
      <c r="H206" s="18" t="n">
        <v>14</v>
      </c>
      <c r="I206" s="18" t="n">
        <v>145</v>
      </c>
      <c r="J206" s="31" t="n">
        <f aca="false">IF(SUM(State_Quality_Summary!L206,State_Quality_Summary!N206)&gt;0, State_Quality_Summary!L206/SUM(State_Quality_Summary!L206,State_Quality_Summary!N206), 1)</f>
        <v>0.9925</v>
      </c>
      <c r="K206" s="33" t="n">
        <v>0</v>
      </c>
      <c r="L206" s="33" t="n">
        <f aca="false">IF(SUM(State_Quality_Summary!L206,State_Quality_Summary!N206)&gt;0, State_Quality_Summary!N206/SUM(State_Quality_Summary!L206,State_Quality_Summary!N206), 0)</f>
        <v>0.0075</v>
      </c>
      <c r="M206" s="33" t="n">
        <v>0</v>
      </c>
      <c r="N206" s="16" t="str">
        <f aca="false">IF(L206&gt;0.05,"Poor Quality",IF(L206&gt;0.01,"Moderately Safe","Excellent"))</f>
        <v>Excellent</v>
      </c>
    </row>
    <row r="207" customFormat="false" ht="15" hidden="false" customHeight="true" outlineLevel="0" collapsed="false">
      <c r="A207" s="13" t="n">
        <v>2026</v>
      </c>
      <c r="B207" s="13" t="s">
        <v>62</v>
      </c>
      <c r="C207" s="13" t="s">
        <v>39</v>
      </c>
      <c r="D207" s="15" t="s">
        <v>19</v>
      </c>
      <c r="E207" s="15" t="s">
        <v>19</v>
      </c>
      <c r="F207" s="15" t="s">
        <v>19</v>
      </c>
      <c r="G207" s="15" t="s">
        <v>19</v>
      </c>
      <c r="H207" s="15" t="s">
        <v>19</v>
      </c>
      <c r="I207" s="15" t="n">
        <v>28</v>
      </c>
      <c r="J207" s="31" t="n">
        <f aca="false">IF(SUM(State_Quality_Summary!L207,State_Quality_Summary!N207)&gt;0, State_Quality_Summary!L207/SUM(State_Quality_Summary!L207,State_Quality_Summary!N207), 1)</f>
        <v>0.987599928231096</v>
      </c>
      <c r="K207" s="32" t="n">
        <v>0</v>
      </c>
      <c r="L207" s="32" t="n">
        <f aca="false">IF(SUM(State_Quality_Summary!L207,State_Quality_Summary!N207)&gt;0, State_Quality_Summary!N207/SUM(State_Quality_Summary!L207,State_Quality_Summary!N207), 0)</f>
        <v>0.0124000717689041</v>
      </c>
      <c r="M207" s="32" t="n">
        <v>0</v>
      </c>
      <c r="N207" s="13" t="str">
        <f aca="false">IF(L207&gt;0.05,"Poor Quality",IF(L207&gt;0.01,"Moderately Safe","Excellent"))</f>
        <v>Moderately Safe</v>
      </c>
    </row>
    <row r="208" customFormat="false" ht="15" hidden="false" customHeight="true" outlineLevel="0" collapsed="false">
      <c r="A208" s="16" t="n">
        <v>2026</v>
      </c>
      <c r="B208" s="16" t="s">
        <v>73</v>
      </c>
      <c r="C208" s="16" t="s">
        <v>50</v>
      </c>
      <c r="D208" s="18" t="s">
        <v>19</v>
      </c>
      <c r="E208" s="18" t="s">
        <v>19</v>
      </c>
      <c r="F208" s="18" t="s">
        <v>19</v>
      </c>
      <c r="G208" s="18" t="s">
        <v>19</v>
      </c>
      <c r="H208" s="18" t="s">
        <v>19</v>
      </c>
      <c r="I208" s="18" t="n">
        <v>241</v>
      </c>
      <c r="J208" s="31" t="n">
        <f aca="false">IF(SUM(State_Quality_Summary!L208,State_Quality_Summary!N208)&gt;0, State_Quality_Summary!L208/SUM(State_Quality_Summary!L208,State_Quality_Summary!N208), 1)</f>
        <v>0.808199905506851</v>
      </c>
      <c r="K208" s="33" t="n">
        <v>0</v>
      </c>
      <c r="L208" s="33" t="n">
        <f aca="false">IF(SUM(State_Quality_Summary!L208,State_Quality_Summary!N208)&gt;0, State_Quality_Summary!N208/SUM(State_Quality_Summary!L208,State_Quality_Summary!N208), 0)</f>
        <v>0.191800094493149</v>
      </c>
      <c r="M208" s="33" t="n">
        <v>0</v>
      </c>
      <c r="N208" s="16" t="str">
        <f aca="false">IF(L208&gt;0.05,"Poor Quality",IF(L208&gt;0.01,"Moderately Safe","Excellent"))</f>
        <v>Poor Quality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94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33"/>
    <col collapsed="false" customWidth="true" hidden="false" outlineLevel="0" max="6" min="6" style="1" width="38"/>
    <col collapsed="false" customWidth="true" hidden="false" outlineLevel="0" max="7" min="7" style="1" width="29"/>
  </cols>
  <sheetData>
    <row r="1" customFormat="false" ht="30" hidden="false" customHeight="true" outlineLevel="0" collapsed="false">
      <c r="A1" s="2" t="s">
        <v>317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318</v>
      </c>
      <c r="B2" s="3"/>
      <c r="C2" s="3"/>
      <c r="D2" s="3"/>
      <c r="E2" s="3"/>
      <c r="F2" s="3"/>
      <c r="G2" s="3"/>
    </row>
    <row r="4" customFormat="false" ht="25.5" hidden="false" customHeight="true" outlineLevel="0" collapsed="false">
      <c r="A4" s="4" t="s">
        <v>78</v>
      </c>
      <c r="B4" s="4" t="s">
        <v>80</v>
      </c>
      <c r="C4" s="4" t="s">
        <v>319</v>
      </c>
      <c r="D4" s="4" t="s">
        <v>320</v>
      </c>
      <c r="E4" s="4" t="s">
        <v>321</v>
      </c>
      <c r="F4" s="4" t="s">
        <v>322</v>
      </c>
      <c r="G4" s="4" t="s">
        <v>12</v>
      </c>
    </row>
    <row r="5" customFormat="false" ht="19.5" hidden="false" customHeight="true" outlineLevel="0" collapsed="false">
      <c r="A5" s="34" t="s">
        <v>88</v>
      </c>
      <c r="B5" s="35" t="s">
        <v>89</v>
      </c>
      <c r="C5" s="36" t="n">
        <v>6.5</v>
      </c>
      <c r="D5" s="36" t="n">
        <v>8.5</v>
      </c>
      <c r="E5" s="34" t="s">
        <v>323</v>
      </c>
      <c r="F5" s="35" t="s">
        <v>324</v>
      </c>
      <c r="G5" s="34" t="s">
        <v>325</v>
      </c>
    </row>
    <row r="6" customFormat="false" ht="19.5" hidden="false" customHeight="true" outlineLevel="0" collapsed="false">
      <c r="A6" s="37" t="s">
        <v>127</v>
      </c>
      <c r="B6" s="38" t="s">
        <v>105</v>
      </c>
      <c r="C6" s="39" t="n">
        <v>0</v>
      </c>
      <c r="D6" s="39" t="n">
        <v>1.5</v>
      </c>
      <c r="E6" s="37" t="s">
        <v>326</v>
      </c>
      <c r="F6" s="38" t="s">
        <v>327</v>
      </c>
      <c r="G6" s="37" t="s">
        <v>107</v>
      </c>
    </row>
    <row r="7" customFormat="false" ht="19.5" hidden="false" customHeight="true" outlineLevel="0" collapsed="false">
      <c r="A7" s="34" t="s">
        <v>104</v>
      </c>
      <c r="B7" s="35" t="s">
        <v>105</v>
      </c>
      <c r="C7" s="36" t="n">
        <v>0</v>
      </c>
      <c r="D7" s="36" t="n">
        <v>45</v>
      </c>
      <c r="E7" s="34" t="s">
        <v>326</v>
      </c>
      <c r="F7" s="35" t="s">
        <v>328</v>
      </c>
      <c r="G7" s="34" t="s">
        <v>107</v>
      </c>
    </row>
    <row r="8" customFormat="false" ht="19.5" hidden="false" customHeight="true" outlineLevel="0" collapsed="false">
      <c r="A8" s="37" t="s">
        <v>329</v>
      </c>
      <c r="B8" s="38" t="s">
        <v>105</v>
      </c>
      <c r="C8" s="39" t="n">
        <v>0</v>
      </c>
      <c r="D8" s="39" t="n">
        <v>1</v>
      </c>
      <c r="E8" s="37" t="s">
        <v>326</v>
      </c>
      <c r="F8" s="38" t="s">
        <v>327</v>
      </c>
      <c r="G8" s="37" t="s">
        <v>107</v>
      </c>
    </row>
    <row r="9" customFormat="false" ht="19.5" hidden="false" customHeight="true" outlineLevel="0" collapsed="false">
      <c r="A9" s="34" t="s">
        <v>119</v>
      </c>
      <c r="B9" s="35" t="s">
        <v>120</v>
      </c>
      <c r="C9" s="36" t="n">
        <v>0</v>
      </c>
      <c r="D9" s="36" t="n">
        <v>10</v>
      </c>
      <c r="E9" s="34" t="s">
        <v>330</v>
      </c>
      <c r="F9" s="35" t="s">
        <v>331</v>
      </c>
      <c r="G9" s="34" t="s">
        <v>107</v>
      </c>
    </row>
    <row r="10" customFormat="false" ht="19.5" hidden="false" customHeight="true" outlineLevel="0" collapsed="false">
      <c r="A10" s="37" t="s">
        <v>133</v>
      </c>
      <c r="B10" s="38" t="s">
        <v>120</v>
      </c>
      <c r="C10" s="39" t="n">
        <v>0</v>
      </c>
      <c r="D10" s="39" t="n">
        <v>30</v>
      </c>
      <c r="E10" s="37" t="s">
        <v>332</v>
      </c>
      <c r="F10" s="38" t="s">
        <v>328</v>
      </c>
      <c r="G10" s="37" t="s">
        <v>107</v>
      </c>
    </row>
    <row r="11" customFormat="false" ht="19.5" hidden="false" customHeight="true" outlineLevel="0" collapsed="false">
      <c r="A11" s="34" t="s">
        <v>139</v>
      </c>
      <c r="B11" s="35" t="s">
        <v>105</v>
      </c>
      <c r="C11" s="36" t="n">
        <v>0</v>
      </c>
      <c r="D11" s="36" t="n">
        <v>0.3</v>
      </c>
      <c r="E11" s="34" t="s">
        <v>326</v>
      </c>
      <c r="F11" s="35" t="s">
        <v>327</v>
      </c>
      <c r="G11" s="34" t="s">
        <v>107</v>
      </c>
    </row>
    <row r="12" customFormat="false" ht="19.5" hidden="false" customHeight="true" outlineLevel="0" collapsed="false">
      <c r="A12" s="37" t="s">
        <v>146</v>
      </c>
      <c r="B12" s="38" t="s">
        <v>105</v>
      </c>
      <c r="C12" s="39" t="n">
        <v>0</v>
      </c>
      <c r="D12" s="39" t="n">
        <v>0.01</v>
      </c>
      <c r="E12" s="37" t="s">
        <v>330</v>
      </c>
      <c r="F12" s="38" t="s">
        <v>331</v>
      </c>
      <c r="G12" s="37" t="s">
        <v>107</v>
      </c>
    </row>
    <row r="13" customFormat="false" ht="19.5" hidden="false" customHeight="true" outlineLevel="0" collapsed="false">
      <c r="A13" s="34" t="s">
        <v>151</v>
      </c>
      <c r="B13" s="35" t="s">
        <v>105</v>
      </c>
      <c r="C13" s="36" t="n">
        <v>0</v>
      </c>
      <c r="D13" s="36" t="n">
        <v>15</v>
      </c>
      <c r="E13" s="34" t="s">
        <v>326</v>
      </c>
      <c r="F13" s="35" t="s">
        <v>327</v>
      </c>
      <c r="G13" s="34" t="s">
        <v>107</v>
      </c>
    </row>
    <row r="14" customFormat="false" ht="19.5" hidden="false" customHeight="true" outlineLevel="0" collapsed="false">
      <c r="A14" s="37" t="s">
        <v>333</v>
      </c>
      <c r="B14" s="38" t="s">
        <v>334</v>
      </c>
      <c r="C14" s="39" t="n">
        <v>0</v>
      </c>
      <c r="D14" s="39" t="n">
        <v>3000</v>
      </c>
      <c r="E14" s="37" t="s">
        <v>335</v>
      </c>
      <c r="F14" s="38" t="s">
        <v>336</v>
      </c>
      <c r="G14" s="37" t="s">
        <v>107</v>
      </c>
    </row>
    <row r="15" customFormat="false" ht="19.5" hidden="false" customHeight="true" outlineLevel="0" collapsed="false">
      <c r="A15" s="34" t="s">
        <v>92</v>
      </c>
      <c r="B15" s="35" t="s">
        <v>105</v>
      </c>
      <c r="C15" s="36" t="n">
        <v>4</v>
      </c>
      <c r="D15" s="36" t="s">
        <v>19</v>
      </c>
      <c r="E15" s="34" t="s">
        <v>337</v>
      </c>
      <c r="F15" s="35" t="s">
        <v>338</v>
      </c>
      <c r="G15" s="34" t="s">
        <v>339</v>
      </c>
    </row>
    <row r="16" customFormat="false" ht="19.5" hidden="false" customHeight="true" outlineLevel="0" collapsed="false">
      <c r="A16" s="37" t="s">
        <v>95</v>
      </c>
      <c r="B16" s="38" t="s">
        <v>105</v>
      </c>
      <c r="C16" s="39" t="n">
        <v>0</v>
      </c>
      <c r="D16" s="39" t="n">
        <v>3</v>
      </c>
      <c r="E16" s="37" t="s">
        <v>340</v>
      </c>
      <c r="F16" s="38" t="s">
        <v>338</v>
      </c>
      <c r="G16" s="37" t="s">
        <v>339</v>
      </c>
    </row>
    <row r="17" customFormat="false" ht="19.5" hidden="false" customHeight="true" outlineLevel="0" collapsed="false">
      <c r="A17" s="34" t="s">
        <v>98</v>
      </c>
      <c r="B17" s="35" t="s">
        <v>105</v>
      </c>
      <c r="C17" s="36" t="n">
        <v>0</v>
      </c>
      <c r="D17" s="36" t="n">
        <v>25</v>
      </c>
      <c r="E17" s="34" t="s">
        <v>340</v>
      </c>
      <c r="F17" s="35" t="s">
        <v>341</v>
      </c>
      <c r="G17" s="34" t="s">
        <v>339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80"/>
    <col collapsed="false" customWidth="true" hidden="false" outlineLevel="0" max="2" min="2" style="1" width="45"/>
    <col collapsed="false" customWidth="true" hidden="false" outlineLevel="0" max="3" min="3" style="1" width="55"/>
    <col collapsed="false" customWidth="true" hidden="false" outlineLevel="0" max="4" min="4" style="1" width="14"/>
    <col collapsed="false" customWidth="true" hidden="false" outlineLevel="0" max="5" min="5" style="1" width="25"/>
    <col collapsed="false" customWidth="true" hidden="false" outlineLevel="0" max="6" min="6" style="1" width="19"/>
    <col collapsed="false" customWidth="true" hidden="false" outlineLevel="0" max="7" min="7" style="1" width="26"/>
    <col collapsed="false" customWidth="true" hidden="false" outlineLevel="0" max="8" min="8" style="1" width="55"/>
    <col collapsed="false" customWidth="true" hidden="false" outlineLevel="0" max="9" min="9" style="1" width="99"/>
  </cols>
  <sheetData>
    <row r="1" customFormat="false" ht="30" hidden="false" customHeight="true" outlineLevel="0" collapsed="false">
      <c r="A1" s="2" t="s">
        <v>342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343</v>
      </c>
      <c r="B2" s="3"/>
      <c r="C2" s="3"/>
      <c r="D2" s="3"/>
      <c r="E2" s="3"/>
      <c r="F2" s="3"/>
      <c r="G2" s="3"/>
      <c r="H2" s="3"/>
      <c r="I2" s="3"/>
    </row>
    <row r="4" customFormat="false" ht="25.5" hidden="false" customHeight="true" outlineLevel="0" collapsed="false">
      <c r="A4" s="4" t="s">
        <v>344</v>
      </c>
      <c r="B4" s="4" t="s">
        <v>345</v>
      </c>
      <c r="C4" s="4" t="s">
        <v>346</v>
      </c>
      <c r="D4" s="4" t="s">
        <v>2</v>
      </c>
      <c r="E4" s="4" t="s">
        <v>347</v>
      </c>
      <c r="F4" s="4" t="s">
        <v>348</v>
      </c>
      <c r="G4" s="4" t="s">
        <v>349</v>
      </c>
      <c r="H4" s="4" t="s">
        <v>350</v>
      </c>
      <c r="I4" s="4" t="s">
        <v>351</v>
      </c>
    </row>
    <row r="5" customFormat="false" ht="19.5" hidden="false" customHeight="true" outlineLevel="0" collapsed="false">
      <c r="A5" s="34" t="s">
        <v>352</v>
      </c>
      <c r="B5" s="34" t="s">
        <v>353</v>
      </c>
      <c r="C5" s="34" t="s">
        <v>354</v>
      </c>
      <c r="D5" s="35" t="s">
        <v>355</v>
      </c>
      <c r="E5" s="35" t="s">
        <v>356</v>
      </c>
      <c r="F5" s="34" t="s">
        <v>357</v>
      </c>
      <c r="G5" s="34" t="s">
        <v>358</v>
      </c>
      <c r="H5" s="34" t="s">
        <v>359</v>
      </c>
      <c r="I5" s="34" t="s">
        <v>360</v>
      </c>
    </row>
    <row r="6" customFormat="false" ht="19.5" hidden="false" customHeight="true" outlineLevel="0" collapsed="false">
      <c r="A6" s="37" t="s">
        <v>361</v>
      </c>
      <c r="B6" s="37" t="s">
        <v>362</v>
      </c>
      <c r="C6" s="37" t="s">
        <v>363</v>
      </c>
      <c r="D6" s="38" t="s">
        <v>364</v>
      </c>
      <c r="E6" s="38" t="s">
        <v>365</v>
      </c>
      <c r="F6" s="37" t="s">
        <v>357</v>
      </c>
      <c r="G6" s="37" t="s">
        <v>366</v>
      </c>
      <c r="H6" s="37" t="s">
        <v>367</v>
      </c>
      <c r="I6" s="37" t="s">
        <v>368</v>
      </c>
    </row>
    <row r="7" customFormat="false" ht="19.5" hidden="false" customHeight="true" outlineLevel="0" collapsed="false">
      <c r="A7" s="34" t="s">
        <v>369</v>
      </c>
      <c r="B7" s="34" t="s">
        <v>370</v>
      </c>
      <c r="C7" s="34" t="s">
        <v>371</v>
      </c>
      <c r="D7" s="35" t="s">
        <v>372</v>
      </c>
      <c r="E7" s="35" t="s">
        <v>356</v>
      </c>
      <c r="F7" s="34" t="s">
        <v>13</v>
      </c>
      <c r="G7" s="34" t="s">
        <v>373</v>
      </c>
      <c r="H7" s="34" t="s">
        <v>374</v>
      </c>
      <c r="I7" s="34" t="s">
        <v>375</v>
      </c>
    </row>
    <row r="8" customFormat="false" ht="19.5" hidden="false" customHeight="true" outlineLevel="0" collapsed="false">
      <c r="A8" s="37" t="s">
        <v>376</v>
      </c>
      <c r="B8" s="37" t="s">
        <v>377</v>
      </c>
      <c r="C8" s="37" t="s">
        <v>378</v>
      </c>
      <c r="D8" s="38" t="s">
        <v>379</v>
      </c>
      <c r="E8" s="38" t="s">
        <v>380</v>
      </c>
      <c r="F8" s="37" t="s">
        <v>38</v>
      </c>
      <c r="G8" s="37" t="s">
        <v>381</v>
      </c>
      <c r="H8" s="37" t="s">
        <v>382</v>
      </c>
      <c r="I8" s="37" t="s">
        <v>383</v>
      </c>
    </row>
    <row r="9" customFormat="false" ht="19.5" hidden="false" customHeight="true" outlineLevel="0" collapsed="false">
      <c r="A9" s="34" t="s">
        <v>384</v>
      </c>
      <c r="B9" s="34" t="s">
        <v>385</v>
      </c>
      <c r="C9" s="34" t="s">
        <v>386</v>
      </c>
      <c r="D9" s="35" t="s">
        <v>387</v>
      </c>
      <c r="E9" s="35" t="s">
        <v>388</v>
      </c>
      <c r="F9" s="34" t="s">
        <v>389</v>
      </c>
      <c r="G9" s="34" t="s">
        <v>390</v>
      </c>
      <c r="H9" s="34" t="s">
        <v>391</v>
      </c>
      <c r="I9" s="34" t="s">
        <v>392</v>
      </c>
    </row>
    <row r="10" customFormat="false" ht="19.5" hidden="false" customHeight="true" outlineLevel="0" collapsed="false">
      <c r="A10" s="37" t="s">
        <v>393</v>
      </c>
      <c r="B10" s="37" t="s">
        <v>394</v>
      </c>
      <c r="C10" s="37" t="s">
        <v>395</v>
      </c>
      <c r="D10" s="38" t="s">
        <v>372</v>
      </c>
      <c r="E10" s="38" t="s">
        <v>396</v>
      </c>
      <c r="F10" s="37" t="s">
        <v>111</v>
      </c>
      <c r="G10" s="37" t="s">
        <v>397</v>
      </c>
      <c r="H10" s="37" t="s">
        <v>398</v>
      </c>
      <c r="I10" s="37" t="s">
        <v>399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2026-08-28T15:47:44Z</dcterms:created>
  <dc:creator>openpyxl</dc:creator>
  <dc:description/>
  <dc:language>en-US</dc:language>
  <cp:lastModifiedBy/>
  <dcterms:modified xsi:type="dcterms:W3CDTF">2026-08-30T03:28:42Z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