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27fc7025fec5e3/Documents/Downloads/"/>
    </mc:Choice>
  </mc:AlternateContent>
  <xr:revisionPtr revIDLastSave="9" documentId="11_FC2BE58A953C912FFA38C629C010946556ACEBBA" xr6:coauthVersionLast="47" xr6:coauthVersionMax="47" xr10:uidLastSave="{4A3209C4-C88D-4612-8C6E-6666A1FE7B43}"/>
  <bookViews>
    <workbookView xWindow="-108" yWindow="-108" windowWidth="23256" windowHeight="12456" tabRatio="500" firstSheet="2" activeTab="4" xr2:uid="{00000000-000D-0000-FFFF-FFFF00000000}"/>
  </bookViews>
  <sheets>
    <sheet name="Water Resource Base" sheetId="2" r:id="rId1"/>
    <sheet name="Resource Utilization Trend" sheetId="3" r:id="rId2"/>
    <sheet name="Sustainability Risk" sheetId="6" r:id="rId3"/>
    <sheet name="Future Potential &amp; Practices" sheetId="7" r:id="rId4"/>
    <sheet name="Institutions &amp; Investment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G41" i="2"/>
  <c r="F41" i="2"/>
  <c r="E41" i="2"/>
  <c r="D41" i="2"/>
  <c r="C41" i="2"/>
  <c r="H41" i="2" s="1"/>
  <c r="B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<sst xmlns="http://schemas.openxmlformats.org/spreadsheetml/2006/main" count="5529" uniqueCount="693">
  <si>
    <t>Description</t>
  </si>
  <si>
    <t>Sheet 1: Water Resource Base across all 36 States &amp; Union Territories</t>
  </si>
  <si>
    <t>Compiled from official statistical databases and national handbooks. All totals calculated via Excel formulas.</t>
  </si>
  <si>
    <t>State/UT</t>
  </si>
  <si>
    <t>Rivers &amp; Canals (km)</t>
  </si>
  <si>
    <t>Ponds &amp; Tanks (hectares)</t>
  </si>
  <si>
    <t>Reservoirs (hectares)</t>
  </si>
  <si>
    <t>Floodplain Lakes &amp; Wetlands (hectares)</t>
  </si>
  <si>
    <t>Brackish Water Area (hectares)</t>
  </si>
  <si>
    <t>Saline/Alkaline Area (hectares)</t>
  </si>
  <si>
    <t>Total Water Resource (hectares)</t>
  </si>
  <si>
    <t>Source Status</t>
  </si>
  <si>
    <t>Andhra Pradesh</t>
  </si>
  <si>
    <t>Handbook of Fisheries Statistics 2025, Tab F-2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</si>
  <si>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</si>
  <si>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</si>
  <si>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</si>
  <si>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</si>
  <si>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</si>
  <si>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</si>
  <si>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</si>
  <si>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</si>
  <si>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</si>
  <si>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</si>
  <si>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</si>
  <si>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</si>
  <si>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</si>
  <si>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</si>
  <si>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</si>
  <si>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</si>
  <si>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</si>
  <si>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</si>
  <si>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</si>
  <si>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</si>
  <si>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</si>
  <si>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</si>
  <si>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</si>
  <si>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</si>
  <si>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</si>
  <si>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</si>
  <si>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</si>
  <si>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</si>
  <si>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</si>
  <si>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</si>
  <si>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 and Daman &amp; Diu</t>
  </si>
  <si>
    <t>Delhi</t>
  </si>
  <si>
    <t>Ladakh</t>
  </si>
  <si>
    <t>Lakshadweep</t>
  </si>
  <si>
    <t>Puducherry</t>
  </si>
  <si>
    <t>ALL INDIA TOTAL</t>
  </si>
  <si>
    <t>Handbook National Aggregates (Sum of States)</t>
  </si>
  <si>
    <t>Year</t>
  </si>
  <si>
    <t>2021-22</t>
  </si>
  <si>
    <t>Inland Saline Ponds</t>
  </si>
  <si>
    <t>2022-23</t>
  </si>
  <si>
    <t>2023-24</t>
  </si>
  <si>
    <t>2024-25</t>
  </si>
  <si>
    <t>Intensive Pond System</t>
  </si>
  <si>
    <t>Sheet 5: Comprehensive All-India State &amp; UT Sustainability Risk Matrix (2021-2025) - Dashboard (Tidy) Layout</t>
  </si>
  <si>
    <t>Empirical multi-year risk matrix across 28 states and Union Territories sourced from MPEDA, CMFRI, ICAR-CIFRI, ICAR-DCFR, and State Fisheries Departments. | Reshaped into one row per State/UT x Year x Risk Category for direct PivotTable/PivotChart use. No underlying values were changed - each row is a lossless split of the original "Tier - Description" text into a Risk Level, a numeric Risk Score (Low=1, Low/Moderate=1.5, Moderate=2, Moderate/High=2.5, High=3), and the original description, with the original combined text also kept for reference.</t>
  </si>
  <si>
    <t>State / UT</t>
  </si>
  <si>
    <t>Culture System Type</t>
  </si>
  <si>
    <t>Risk Category</t>
  </si>
  <si>
    <t>Risk Level</t>
  </si>
  <si>
    <t>Risk Score (1-3)</t>
  </si>
  <si>
    <t>Source</t>
  </si>
  <si>
    <t>Original Cell Text</t>
  </si>
  <si>
    <t>2021-2022</t>
  </si>
  <si>
    <t>Climate Risk</t>
  </si>
  <si>
    <t>High</t>
  </si>
  <si>
    <t>Cyclonic storms, coastal flooding, and high temperature fluctuations.</t>
  </si>
  <si>
    <t>MPEDA / EconStor Study</t>
  </si>
  <si>
    <t>High - Cyclonic storms, coastal flooding, and high temperature fluctuations.</t>
  </si>
  <si>
    <t>Water Pollution Risk</t>
  </si>
  <si>
    <t>Moderate/High</t>
  </si>
  <si>
    <t>Godavari/Krishna canal agricultural runoff and organic loading.</t>
  </si>
  <si>
    <t>Moderate/High - Godavari/Krishna canal agricultural runoff and organic loading.</t>
  </si>
  <si>
    <t>Disease Outbreak Risk</t>
  </si>
  <si>
    <t>Recurrent viral WSSV and Enterocytozoon hepatopenaei (EHP).</t>
  </si>
  <si>
    <t>High - Recurrent viral WSSV and Enterocytozoon hepatopenaei (EHP).</t>
  </si>
  <si>
    <t>Over-exploitation Risk</t>
  </si>
  <si>
    <t>Coastal marine trawl pressure on pelagic stocks.</t>
  </si>
  <si>
    <t>High - Coastal marine trawl pressure on pelagic stocks.</t>
  </si>
  <si>
    <t>Hilly Raceway System</t>
  </si>
  <si>
    <t>Landslides, flash floods, and sub-zero winter temperatures limiting growth seasons.</t>
  </si>
  <si>
    <t>DoF Arunachal / ICAR-DCFR</t>
  </si>
  <si>
    <t>High - Landslides, flash floods, and sub-zero winter temperatures limiting growth seasons.</t>
  </si>
  <si>
    <t>Low</t>
  </si>
  <si>
    <t>Pristine hill streams with unbuffered soft water acidity.</t>
  </si>
  <si>
    <t>Low - Pristine hill streams with unbuffered soft water acidity.</t>
  </si>
  <si>
    <t>Moderate</t>
  </si>
  <si>
    <t>Fungal Saprolegniasis and bacterial gill rot.</t>
  </si>
  <si>
    <t>Moderate - Fungal Saprolegniasis and bacterial gill rot.</t>
  </si>
  <si>
    <t>Wild trout and mahseer capture pressure.</t>
  </si>
  <si>
    <t>Moderate - Wild trout and mahseer capture pressure.</t>
  </si>
  <si>
    <t>Traditional Beel / Paddy-cum-Fish</t>
  </si>
  <si>
    <t>Brahmaputra riverine flooding and severe seasonal waterlogging.</t>
  </si>
  <si>
    <t>ICAR-CIFRI Guwahati Report</t>
  </si>
  <si>
    <t>High - Brahmaputra riverine flooding and severe seasonal waterlogging.</t>
  </si>
  <si>
    <t>Pesticide runoff from tea gardens and municipal sewage.</t>
  </si>
  <si>
    <t>Moderate - Pesticide runoff from tea gardens and municipal sewage.</t>
  </si>
  <si>
    <t>Epizootic Ulcerative Syndrome (EUS) during monsoon transitions.</t>
  </si>
  <si>
    <t>Moderate - Epizootic Ulcerative Syndrome (EUS) during monsoon transitions.</t>
  </si>
  <si>
    <t>Unregulated wild seed collection in beels.</t>
  </si>
  <si>
    <t>High - Unregulated wild seed collection in beels.</t>
  </si>
  <si>
    <t>Oxbow Lake (Chaur) Culture</t>
  </si>
  <si>
    <t>Annual Gangetic flood surges and shifting river channels.</t>
  </si>
  <si>
    <t>ICAR-CIFRI Riverine Monograph</t>
  </si>
  <si>
    <t>High - Annual Gangetic flood surges and shifting river channels.</t>
  </si>
  <si>
    <t>Untreated urban sewage discharge into river floodplains.</t>
  </si>
  <si>
    <t>Moderate/High - Untreated urban sewage discharge into river floodplains.</t>
  </si>
  <si>
    <t>Bacterial hemorrhagic septicemia in floodplain lakes.</t>
  </si>
  <si>
    <t>Moderate - Bacterial hemorrhagic septicemia in floodplain lakes.</t>
  </si>
  <si>
    <t>Juvenile overfishing in oxbow wetlands.</t>
  </si>
  <si>
    <t>Moderate - Juvenile overfishing in oxbow wetlands.</t>
  </si>
  <si>
    <t>Reservoir Cage &amp; Pond Culture</t>
  </si>
  <si>
    <t>Erratic monsoon rainfall impacting reservoir storage levels.</t>
  </si>
  <si>
    <t>DoF Chhattisgarh Report</t>
  </si>
  <si>
    <t>Moderate - Erratic monsoon rainfall impacting reservoir storage levels.</t>
  </si>
  <si>
    <t>Low/Moderate</t>
  </si>
  <si>
    <t>Industrial mining effluent in localized catchment areas.</t>
  </si>
  <si>
    <t>Low/Moderate - Industrial mining effluent in localized catchment areas.</t>
  </si>
  <si>
    <t>Minimal viral pathogen incidence in large water bodies.</t>
  </si>
  <si>
    <t>Low - Minimal viral pathogen incidence in large water bodies.</t>
  </si>
  <si>
    <t>Gill net over-exploitation in open reservoirs.</t>
  </si>
  <si>
    <t>Moderate - Gill net over-exploitation in open reservoirs.</t>
  </si>
  <si>
    <t>Khazan Land &amp; Brackish Ponds</t>
  </si>
  <si>
    <t>Coastal erosion and tidal saltwater intrusion.</t>
  </si>
  <si>
    <t>ICAR-CCARI Goa Study</t>
  </si>
  <si>
    <t>Moderate - Coastal erosion and tidal saltwater intrusion.</t>
  </si>
  <si>
    <t>Mining residue runoffs and coastal tourism organic waste.</t>
  </si>
  <si>
    <t>Moderate - Mining residue runoffs and coastal tourism organic waste.</t>
  </si>
  <si>
    <t>Bacterial infections in estuarine shrimp ponds.</t>
  </si>
  <si>
    <t>Moderate - Bacterial infections in estuarine shrimp ponds.</t>
  </si>
  <si>
    <t>Traditional estuarine fish over-extraction.</t>
  </si>
  <si>
    <t>Moderate - Traditional estuarine fish over-extraction.</t>
  </si>
  <si>
    <t>Intensive Shrimp Pond</t>
  </si>
  <si>
    <t>High tidal range in Gulf of Khambhat causing embankment stress.</t>
  </si>
  <si>
    <t>MPEDA Gujarat Coastal Profile</t>
  </si>
  <si>
    <t>Moderate - High tidal range in Gulf of Khambhat causing embankment stress.</t>
  </si>
  <si>
    <t>Industrial chemical effluent along Vapi/Ankleshwar coastal belts.</t>
  </si>
  <si>
    <t>High - Industrial chemical effluent along Vapi/Ankleshwar coastal belts.</t>
  </si>
  <si>
    <t>Vibrio outbreaks during sudden monsoon salinity drops.</t>
  </si>
  <si>
    <t>Moderate - Vibrio outbreaks during sudden monsoon salinity drops.</t>
  </si>
  <si>
    <t>Gulf trawl fisheries over-exploitation.</t>
  </si>
  <si>
    <t>Moderate - Gulf trawl fisheries over-exploitation.</t>
  </si>
  <si>
    <t>Inland Saline Vannamei Pond</t>
  </si>
  <si>
    <t>High summer temperatures causing thermal stress in shallow ponds.</t>
  </si>
  <si>
    <t>Haryana Fisheries Technical Guide</t>
  </si>
  <si>
    <t>Low - High summer temperatures causing thermal stress in shallow ponds.</t>
  </si>
  <si>
    <t>High alkalinity, fluoride, and heavy metal accumulation in saline water.</t>
  </si>
  <si>
    <t>Moderate - High alkalinity, fluoride, and heavy metal accumulation in saline water.</t>
  </si>
  <si>
    <t>Columnaris and bacterial gill disease in high-density ponds.</t>
  </si>
  <si>
    <t>Low/Moderate - Columnaris and bacterial gill disease in high-density ponds.</t>
  </si>
  <si>
    <t>N/A (Culture-based).</t>
  </si>
  <si>
    <t>Low - N/A (Culture-based).</t>
  </si>
  <si>
    <t>Coldwater Trout Raceway</t>
  </si>
  <si>
    <t>Glacial melt flash floods and winter freezing water temperatures.</t>
  </si>
  <si>
    <t>DoF Himachal / ICAR-DCFR</t>
  </si>
  <si>
    <t>High - Glacial melt flash floods and winter freezing water temperatures.</t>
  </si>
  <si>
    <t>Clean snow-fed streams with low buffer capacity.</t>
  </si>
  <si>
    <t>Low - Clean snow-fed streams with low buffer capacity.</t>
  </si>
  <si>
    <t>Bacterial coldwater disease and fin rot.</t>
  </si>
  <si>
    <t>Moderate - Bacterial coldwater disease and fin rot.</t>
  </si>
  <si>
    <t>Riverine trout angling and wild harvest pressure.</t>
  </si>
  <si>
    <t>Moderate - Riverine trout angling and wild harvest pressure.</t>
  </si>
  <si>
    <t>Reservoir &amp; Tank Culture</t>
  </si>
  <si>
    <t>Drought vulnerability and depletion of minor water bodies in summer.</t>
  </si>
  <si>
    <t>Blue Revolution Jharkhand Report</t>
  </si>
  <si>
    <t>Moderate - Drought vulnerability and depletion of minor water bodies in summer.</t>
  </si>
  <si>
    <t>Heavy metal and acidic runoff from coal mining tracts.</t>
  </si>
  <si>
    <t>Moderate - Heavy metal and acidic runoff from coal mining tracts.</t>
  </si>
  <si>
    <t>Standard parasitic infections in stocked carp fingerlings.</t>
  </si>
  <si>
    <t>Low - Standard parasitic infections in stocked carp fingerlings.</t>
  </si>
  <si>
    <t>Unmanaged open-water harvesting.</t>
  </si>
  <si>
    <t>Moderate - Unmanaged open-water harvesting.</t>
  </si>
  <si>
    <t>Coastal &amp; Inland Pond System</t>
  </si>
  <si>
    <t>Western Ghat heavy rainfall and localized flooding.</t>
  </si>
  <si>
    <t>CMFRI Regional Report</t>
  </si>
  <si>
    <t>Moderate - Western Ghat heavy rainfall and localized flooding.</t>
  </si>
  <si>
    <t>Coffee pulp and agro-chemical runoffs in hill catchments.</t>
  </si>
  <si>
    <t>Moderate - Coffee pulp and agro-chemical runoffs in hill catchments.</t>
  </si>
  <si>
    <t>Argulosis (fish lice) and bacterial infections.</t>
  </si>
  <si>
    <t>Moderate - Argulosis (fish lice) and bacterial infections.</t>
  </si>
  <si>
    <t>Purse seine over-exploitation along Udupi-Mangalore coast.</t>
  </si>
  <si>
    <t>High - Purse seine over-exploitation along Udupi-Mangalore coast.</t>
  </si>
  <si>
    <t>Pokkali / Backwater Culture</t>
  </si>
  <si>
    <t>Coastal storms, sea-level rise, and severe backwater salinity shifts.</t>
  </si>
  <si>
    <t>CMFRI / State Fisheries Dept</t>
  </si>
  <si>
    <t>High - Coastal storms, sea-level rise, and severe backwater salinity shifts.</t>
  </si>
  <si>
    <t>Eutrophication from agricultural runoff and coir retting waste.</t>
  </si>
  <si>
    <t>Moderate/High - Eutrophication from agricultural runoff and coir retting waste.</t>
  </si>
  <si>
    <t>Chronic WSSV and EHP outbreaks in semi-intensive farms.</t>
  </si>
  <si>
    <t>High - Chronic WSSV and EHP outbreaks in semi-intensive farms.</t>
  </si>
  <si>
    <t>Historical decline of marine oil sardine stocks.</t>
  </si>
  <si>
    <t>High - Historical decline of marine oil sardine stocks.</t>
  </si>
  <si>
    <t>Large Reservoir Culture</t>
  </si>
  <si>
    <t>Variable summer temperatures and low reservoir water retention.</t>
  </si>
  <si>
    <t>DoF Madhya Pradesh Report</t>
  </si>
  <si>
    <t>Moderate - Variable summer temperatures and low reservoir water retention.</t>
  </si>
  <si>
    <t>Agricultural fertilizer runoffs into feeder rivers.</t>
  </si>
  <si>
    <t>Low/Moderate - Agricultural fertilizer runoffs into feeder rivers.</t>
  </si>
  <si>
    <t>Low disease incidence in large multi-species reservoirs.</t>
  </si>
  <si>
    <t>Low - Low disease incidence in large multi-species reservoirs.</t>
  </si>
  <si>
    <t>Gill net over-fishing by local cooperatives.</t>
  </si>
  <si>
    <t>Moderate - Gill net over-fishing by local cooperatives.</t>
  </si>
  <si>
    <t>Konkan Coastal &amp; RAS System</t>
  </si>
  <si>
    <t>Unpredictable monsoon patterns and coastal flooding.</t>
  </si>
  <si>
    <t>Konkan Krishi Vidyapeeth Report</t>
  </si>
  <si>
    <t>Moderate - Unpredictable monsoon patterns and coastal flooding.</t>
  </si>
  <si>
    <t>Heavy industrial and municipal pollution around Mumbai creeks.</t>
  </si>
  <si>
    <t>High - Heavy industrial and municipal pollution around Mumbai creeks.</t>
  </si>
  <si>
    <t>Parasitic copepod infestations in brackishwater farms.</t>
  </si>
  <si>
    <t>Moderate - Parasitic copepod infestations in brackishwater farms.</t>
  </si>
  <si>
    <t>Multi-day mechanized trawling pressure.</t>
  </si>
  <si>
    <t>High - Multi-day mechanized trawling pressure.</t>
  </si>
  <si>
    <t>Loktak Wetland Culture</t>
  </si>
  <si>
    <t>Siltation, weed choking (phumdis), and valley flood risks.</t>
  </si>
  <si>
    <t>Loktak Development Authority</t>
  </si>
  <si>
    <t>High - Siltation, weed choking (phumdis), and valley flood risks.</t>
  </si>
  <si>
    <t>Encroachment and organic pollution in Loktak lake.</t>
  </si>
  <si>
    <t>Moderate - Encroachment and organic pollution in Loktak lake.</t>
  </si>
  <si>
    <t>EUS during seasonal temperature drops.</t>
  </si>
  <si>
    <t>Moderate - EUS during seasonal temperature drops.</t>
  </si>
  <si>
    <t>Over-exploitation of indigenous wild fish species.</t>
  </si>
  <si>
    <t>High - Over-exploitation of indigenous wild fish species.</t>
  </si>
  <si>
    <t>Hill Stream &amp; Pond System</t>
  </si>
  <si>
    <t>Extreme rainfall, soil erosion, and landslides.</t>
  </si>
  <si>
    <t>DoF Meghalaya Report</t>
  </si>
  <si>
    <t>High - Extreme rainfall, soil erosion, and landslides.</t>
  </si>
  <si>
    <t>Coal mine acid drainage in East Jaintia hills.</t>
  </si>
  <si>
    <t>Moderate - Coal mine acid drainage in East Jaintia hills.</t>
  </si>
  <si>
    <t>Fungal and bacterial gill infections.</t>
  </si>
  <si>
    <t>Moderate - Fungal and bacterial gill infections.</t>
  </si>
  <si>
    <t>Local stream electrofishing and over-harvesting.</t>
  </si>
  <si>
    <t>Moderate - Local stream electrofishing and over-harvesting.</t>
  </si>
  <si>
    <t>Terraced Hill Ponds</t>
  </si>
  <si>
    <t>Steep slope landslides and seasonal water scarcity.</t>
  </si>
  <si>
    <t>DoF Mizoram</t>
  </si>
  <si>
    <t>High - Steep slope landslides and seasonal water scarcity.</t>
  </si>
  <si>
    <t>Minimal industrial pollution in upland areas.</t>
  </si>
  <si>
    <t>Low - Minimal industrial pollution in upland areas.</t>
  </si>
  <si>
    <t>Minor parasitic dropsy during monsoons.</t>
  </si>
  <si>
    <t>Low - Minor parasitic dropsy during monsoons.</t>
  </si>
  <si>
    <t>Subsistence river fishing pressure.</t>
  </si>
  <si>
    <t>Low - Subsistence river fishing pressure.</t>
  </si>
  <si>
    <t>Paddy-cum-Fish Culture</t>
  </si>
  <si>
    <t>Hillside soil erosion and heavy monsoon cloudbursts.</t>
  </si>
  <si>
    <t>Nagaland State Fisheries</t>
  </si>
  <si>
    <t>High - Hillside soil erosion and heavy monsoon cloudbursts.</t>
  </si>
  <si>
    <t>Organic agricultural runoff.</t>
  </si>
  <si>
    <t>Low - Organic agricultural runoff.</t>
  </si>
  <si>
    <t>Saprolegniasis in cold water ponds.</t>
  </si>
  <si>
    <t>Moderate - Saprolegniasis in cold water ponds.</t>
  </si>
  <si>
    <t>Indigenous species collection pressure.</t>
  </si>
  <si>
    <t>Moderate - Indigenous species collection pressure.</t>
  </si>
  <si>
    <t>Chilika &amp; Deltaic Ponds</t>
  </si>
  <si>
    <t>Frequent severe cyclonic storms and storm surges.</t>
  </si>
  <si>
    <t>State Fisheries Dept Report</t>
  </si>
  <si>
    <t>High - Frequent severe cyclonic storms and storm surges.</t>
  </si>
  <si>
    <t>Agricultural siltation affecting Chilika lagoon productivity.</t>
  </si>
  <si>
    <t>Low/Moderate - Agricultural siltation affecting Chilika lagoon productivity.</t>
  </si>
  <si>
    <t>WSSV and Aeromonas infections post-monsoon.</t>
  </si>
  <si>
    <t>Moderate - WSSV and Aeromonas infections post-monsoon.</t>
  </si>
  <si>
    <t>Gill net over-exploitation in estuarine lagoons.</t>
  </si>
  <si>
    <t>Moderate - Gill net over-exploitation in estuarine lagoons.</t>
  </si>
  <si>
    <t>Inland Saline &amp; Freshwater Ponds</t>
  </si>
  <si>
    <t>Groundwater depletion and localized waterlogging in southwest tracts.</t>
  </si>
  <si>
    <t>DoF Punjab / Ludhiana Hub</t>
  </si>
  <si>
    <t>Moderate - Groundwater depletion and localized waterlogging in southwest tracts.</t>
  </si>
  <si>
    <t>High pesticide and fertilizer residue leaching into aquaculture ponds.</t>
  </si>
  <si>
    <t>High - High pesticide and fertilizer residue leaching into aquaculture ponds.</t>
  </si>
  <si>
    <t>Argulosis and bacterial fin rot in stagnant ponds.</t>
  </si>
  <si>
    <t>Low - Argulosis and bacterial fin rot in stagnant ponds.</t>
  </si>
  <si>
    <t>Inland Saline Desert Ponds</t>
  </si>
  <si>
    <t>Extreme summer temperatures (&gt;45°C) causing high evaporation stress.</t>
  </si>
  <si>
    <t>ICAR-CIBA Saline Project</t>
  </si>
  <si>
    <t>High - Extreme summer temperatures (&gt;45°C) causing high evaporation stress.</t>
  </si>
  <si>
    <t>High mineral hardness and salinity in groundwater.</t>
  </si>
  <si>
    <t>Low - High mineral hardness and salinity in groundwater.</t>
  </si>
  <si>
    <t>Low biological pathogen pressure due to high salinity isolation.</t>
  </si>
  <si>
    <t>Low - Low biological pathogen pressure due to high salinity isolation.</t>
  </si>
  <si>
    <t>N/A.</t>
  </si>
  <si>
    <t>Low - N/A.</t>
  </si>
  <si>
    <t>Coldwater Raceway System</t>
  </si>
  <si>
    <t>Seismic vulnerability, landslides, and sub-zero winter temperatures.</t>
  </si>
  <si>
    <t>Sikkim Coldwater Review</t>
  </si>
  <si>
    <t>High - Seismic vulnerability, landslides, and sub-zero winter temperatures.</t>
  </si>
  <si>
    <t>Pristine glacial stream sources.</t>
  </si>
  <si>
    <t>Low - Pristine glacial stream sources.</t>
  </si>
  <si>
    <t>Bacterial gill disease and coldwater fungal infections.</t>
  </si>
  <si>
    <t>Moderate - Bacterial gill disease and coldwater fungal infections.</t>
  </si>
  <si>
    <t>Strict regulated angling and conservation.</t>
  </si>
  <si>
    <t>Low - Strict regulated angling and conservation.</t>
  </si>
  <si>
    <t>Coastal Shrimp &amp; Inland Ponds</t>
  </si>
  <si>
    <t>Coastal erosion in Cauvery delta and erratic monsoon rains.</t>
  </si>
  <si>
    <t>TANUVAS Fisheries Report</t>
  </si>
  <si>
    <t>Moderate/High - Coastal erosion in Cauvery delta and erratic monsoon rains.</t>
  </si>
  <si>
    <t>Tannery and textile effluent in Vellore/Erode river belts.</t>
  </si>
  <si>
    <t>Moderate - Tannery and textile effluent in Vellore/Erode river belts.</t>
  </si>
  <si>
    <t>Bacterial tail-rot in intensive culture.</t>
  </si>
  <si>
    <t>Moderate - Bacterial tail-rot in intensive culture.</t>
  </si>
  <si>
    <t>Palk Bay bottom-trawl over-exploitation.</t>
  </si>
  <si>
    <t>High - Palk Bay bottom-trawl over-exploitation.</t>
  </si>
  <si>
    <t>Restored Tank &amp; Reservoir Culture</t>
  </si>
  <si>
    <t>Periodic droughts and high summer evaporation rates.</t>
  </si>
  <si>
    <t>DoF Telangana</t>
  </si>
  <si>
    <t>Moderate - Periodic droughts and high summer evaporation rates.</t>
  </si>
  <si>
    <t>Urban sewage runoffs around Hyderabad urban catchments.</t>
  </si>
  <si>
    <t>Moderate - Urban sewage runoffs around Hyderabad urban catchments.</t>
  </si>
  <si>
    <t>Bacterial infections during low water volume periods.</t>
  </si>
  <si>
    <t>Low/Moderate - Bacterial infections during low water volume periods.</t>
  </si>
  <si>
    <t>Intensive stocking and commercial net harvesting.</t>
  </si>
  <si>
    <t>Moderate - Intensive stocking and commercial net harvesting.</t>
  </si>
  <si>
    <t>Semi-Intensive &amp; Biofloc System</t>
  </si>
  <si>
    <t>Flood risks from overflowing trans-boundary rivers.</t>
  </si>
  <si>
    <t>Tripura Fisheries Dept</t>
  </si>
  <si>
    <t>Moderate - Flood risks from overflowing trans-boundary rivers.</t>
  </si>
  <si>
    <t>Local agro-chemical runoffs.</t>
  </si>
  <si>
    <t>Low/Moderate - Local agro-chemical runoffs.</t>
  </si>
  <si>
    <t>EUS and bacterial infections in earthen ponds.</t>
  </si>
  <si>
    <t>Moderate - EUS and bacterial infections in earthen ponds.</t>
  </si>
  <si>
    <t>Seasonal wetland wild catch pressure.</t>
  </si>
  <si>
    <t>Moderate - Seasonal wetland wild catch pressure.</t>
  </si>
  <si>
    <t>Gangetic Plain Pond System</t>
  </si>
  <si>
    <t>Gangetic riverine flooding and shifting channels.</t>
  </si>
  <si>
    <t>UP Fisheries Development Corp</t>
  </si>
  <si>
    <t>Moderate - Gangetic riverine flooding and shifting channels.</t>
  </si>
  <si>
    <t>Heavy municipal sewage and industrial tannery waste in Ganga-Yamuna.</t>
  </si>
  <si>
    <t>High - Heavy municipal sewage and industrial tannery waste in Ganga-Yamuna.</t>
  </si>
  <si>
    <t>Hemorrhagic septicemia and EUS in carp ponds.</t>
  </si>
  <si>
    <t>Moderate - Hemorrhagic septicemia and EUS in carp ponds.</t>
  </si>
  <si>
    <t>Unregulated juvenile fishing in river stretches.</t>
  </si>
  <si>
    <t>Moderate - Unregulated juvenile fishing in river stretches.</t>
  </si>
  <si>
    <t>Coldwater Trout &amp; Hill Ponds</t>
  </si>
  <si>
    <t>Cloudbursts, flash floods, and steep terrain landslides.</t>
  </si>
  <si>
    <t>ICAR-DCFR Bhimtal</t>
  </si>
  <si>
    <t>High - Cloudbursts, flash floods, and steep terrain landslides.</t>
  </si>
  <si>
    <t>Tourist site garbage and sewage in river streams.</t>
  </si>
  <si>
    <t>Low/Moderate - Tourist site garbage and sewage in river streams.</t>
  </si>
  <si>
    <t>Fungal gill rot and parasitic protozoa.</t>
  </si>
  <si>
    <t>Moderate - Fungal gill rot and parasitic protozoa.</t>
  </si>
  <si>
    <t>Mahseer and trout riverine protection pressures.</t>
  </si>
  <si>
    <t>Moderate - Mahseer and trout riverine protection pressures.</t>
  </si>
  <si>
    <t>Bheris &amp; Estuarine Delta</t>
  </si>
  <si>
    <t>Severe Bay of Bengal cyclonic storms (Amphan/Yaas) and saline ingress.</t>
  </si>
  <si>
    <t>ICAR-CIFRI Estuarine Report</t>
  </si>
  <si>
    <t>High - Severe Bay of Bengal cyclonic storms (Amphan/Yaas) and saline ingress.</t>
  </si>
  <si>
    <t>Heavy industrial and municipal sewage discharge into Hooghly estuary.</t>
  </si>
  <si>
    <t>High - Heavy industrial and municipal sewage discharge into Hooghly estuary.</t>
  </si>
  <si>
    <t>EUS in carps and parasitic infections in bheris.</t>
  </si>
  <si>
    <t>Moderate/High - EUS in carps and parasitic infections in bheris.</t>
  </si>
  <si>
    <t>Sundarbans estuarine seed collection and over-extraction.</t>
  </si>
  <si>
    <t>High - Sundarbans estuarine seed collection and over-extraction.</t>
  </si>
  <si>
    <t>Andaman and Nicobar Islands</t>
  </si>
  <si>
    <t>Coastal Cage &amp; Pen Culture</t>
  </si>
  <si>
    <t>Island vulnerability to tropical storms and tsunamis.</t>
  </si>
  <si>
    <t>ICAR-CIARI Port Blair</t>
  </si>
  <si>
    <t>High - Island vulnerability to tropical storms and tsunamis.</t>
  </si>
  <si>
    <t>Pristine marine environment with minimal industrial pollution.</t>
  </si>
  <si>
    <t>Low - Pristine marine environment with minimal industrial pollution.</t>
  </si>
  <si>
    <t>Minimal endemic pathogen pressure in open coastal cages.</t>
  </si>
  <si>
    <t>Low - Minimal endemic pathogen pressure in open coastal cages.</t>
  </si>
  <si>
    <t>Artisanal coastal fishing only.</t>
  </si>
  <si>
    <t>Low - Artisanal coastal fishing only.</t>
  </si>
  <si>
    <t>Brackishwater Shrimp Ponds</t>
  </si>
  <si>
    <t>Coastal erosion and high humidity storm risks.</t>
  </si>
  <si>
    <t>DoF Puducherry</t>
  </si>
  <si>
    <t>Moderate - Coastal erosion and high humidity storm risks.</t>
  </si>
  <si>
    <t>Urban runoff into coastal backwaters.</t>
  </si>
  <si>
    <t>Moderate - Urban runoff into coastal backwaters.</t>
  </si>
  <si>
    <t>Viral WSSV in brackishwater shrimp ponds.</t>
  </si>
  <si>
    <t>Moderate - Viral WSSV in brackishwater shrimp ponds.</t>
  </si>
  <si>
    <t>Coastal artisanal overfishing.</t>
  </si>
  <si>
    <t>Moderate - Coastal artisanal overfishing.</t>
  </si>
  <si>
    <t>Jammu and Kashmir &amp; Ladakh</t>
  </si>
  <si>
    <t>High-Altitude Coldwater RAS &amp; Raceways</t>
  </si>
  <si>
    <t>Heavy snowfall, extreme sub-zero winter freeze, and avalanche risks.</t>
  </si>
  <si>
    <t>DoF J&amp;K / Cold Arid Ladakh</t>
  </si>
  <si>
    <t>High - Heavy snowfall, extreme sub-zero winter freeze, and avalanche risks.</t>
  </si>
  <si>
    <t>Pure glacial snow-melt water sources.</t>
  </si>
  <si>
    <t>Low - Pure glacial snow-melt water sources.</t>
  </si>
  <si>
    <t>Coldwater bacterial kidney disease (BKD) and protozoa.</t>
  </si>
  <si>
    <t>Moderate - Coldwater bacterial kidney disease (BKD) and protozoa.</t>
  </si>
  <si>
    <t>Regulated coldwater trout management.</t>
  </si>
  <si>
    <t>Low - Regulated coldwater trout management.</t>
  </si>
  <si>
    <t>2022-2023</t>
  </si>
  <si>
    <t>2023-2024</t>
  </si>
  <si>
    <t>2024-2025</t>
  </si>
  <si>
    <t>Sheet 6: Future Potential &amp; Recommended Sustainable Aquaculture Initiatives</t>
  </si>
  <si>
    <t>Details strategic, resource-specific interventions to advance sustainable production, certifications, and compliance — all 28 States + 8 UTs + All-India Total.</t>
  </si>
  <si>
    <t>State/UT or Initiative</t>
  </si>
  <si>
    <t>Untapped Resource Potential</t>
  </si>
  <si>
    <t>Recommended Sustainable Practice</t>
  </si>
  <si>
    <t>Relevant Certification/Programme</t>
  </si>
  <si>
    <t>Target Year for Impact</t>
  </si>
  <si>
    <t>Audited Source Basis</t>
  </si>
  <si>
    <t>Data Reliability Risk</t>
  </si>
  <si>
    <t>Risk Score (0=Low,10=High)</t>
  </si>
  <si>
    <t>Risk Rationale</t>
  </si>
  <si>
    <t>~1.50 lakh ha potential brackishwater area identified (ranks 1st nationally in coastal aquaculture); ~42,437 ha developed for shrimp farming (2016, ~57% of potential) — still the country's largest single untapped brackishwater block.</t>
  </si>
  <si>
    <t>BMP-based L. vannamei culture; strengthen WSSV/EMS disease surveillance and effluent treatment around Kandeleru creek; scale up the official Scampi (freshwater prawn) Cluster.</t>
  </si>
  <si>
    <t>Coastal Aquaculture Authority (CAA) registration; BAP/ASC export certification; NaCSA (MPEDA) Farmer Group Certification; Govt.-notified 'Scampi Cluster' (PMMSY).</t>
  </si>
  <si>
    <t>2024-25 (PMMSY) / 2030</t>
  </si>
  <si>
    <t>ICAR-CIBA monograph, Table 7.2 (ResearchGate); PIB Release ID 2213532 (34 Fisheries Clusters notification, 12-Jan-2026).</t>
  </si>
  <si>
    <t>Moderate Risk</t>
  </si>
  <si>
    <t>4/10</t>
  </si>
  <si>
    <t>Core hectare figures from an academic monograph (older secondary data); cluster info is current official PIB data.</t>
  </si>
  <si>
    <t>3.18 lakh ha of 'other water resources' (rivers/streams/ponds) — the highest among all 8 North-Eastern states — remains largely unexploited for aquaculture and aqua-tourism.</t>
  </si>
  <si>
    <t>Develop river-based aqua-tourism circuits combining Mahseer/trout angling with community homestays; promote cold-water raceway pilots.</t>
  </si>
  <si>
    <t>State/CAA registration; Govt.-notified 'Aqua-Tourism Cluster' (PMMSY); potential GI tag for indigenous Mahseer.</t>
  </si>
  <si>
    <t>2025-26</t>
  </si>
  <si>
    <t>Academia.edu, 'Fish production in North East India' (NE water-resource table); PIB Release ID 2213532 (cluster notification).</t>
  </si>
  <si>
    <t>5/10</t>
  </si>
  <si>
    <t>Resource figure from an academic compilation with no clear reference year; no direct state-dept confirmation found.</t>
  </si>
  <si>
    <t>About 2.70-2.86 lakh ha of ponds, tanks, derelict water, beels and reservoirs; official estimates put beel productivity potential above 1,000 kg/ha/yr against actual yields below 500 kg/ha/yr — over 50% of realisable beel productivity untapped.</t>
  </si>
  <si>
    <t>Scientific beel (wetland) fisheries management with controlled stocking; expand River Ranching under PMMSY; promote the official Riverine Fisheries Cluster.</t>
  </si>
  <si>
    <t>State/CAA registration; Govt.-notified 'Riverine Fisheries Cluster' (PMMSY).</t>
  </si>
  <si>
    <t>2026 (State target for fish self-sufficiency)</t>
  </si>
  <si>
    <t>ICSF, 'Assam: Becoming self-sufficient in fish production by 2026'; Govt. of Assam Directorate of Fisheries data; PIB Release ID 2213532.</t>
  </si>
  <si>
    <t>Low Risk</t>
  </si>
  <si>
    <t>3/10</t>
  </si>
  <si>
    <t>Cross-checked against the official Assam Directorate of Fisheries website (current, dated data).</t>
  </si>
  <si>
    <t>Vast floodplain wetlands (chaurs, mauns, ox-bow lakes) and silted ponds remain under-developed despite Bihar becoming a top-5 inland fish-producing state (9.6 lakh tonnes, 2024-25); North Bihar alone has over 30,000 ponds of varying size.</t>
  </si>
  <si>
    <t>Renovate and de-silt derelict ponds/chaurs; hatchery-based seed stocking; promote the official Wetland Fisheries Cluster and subsidised pond-construction schemes.</t>
  </si>
  <si>
    <t>State/CAA registration; Govt.-notified 'Wetland Fisheries Cluster' (PMMSY).</t>
  </si>
  <si>
    <t>The Fish Site, 'Bringing new blood into Bihar's fish farming sector' (2024); PIB Release ID 2205029 (PMMSY fish-production data); PIB Release ID 2213532.</t>
  </si>
  <si>
    <t>Potential described qualitatively by a trade-press interview rather than a quantified official audit.</t>
  </si>
  <si>
    <t>Total inland water area of about 1.64 lakh ha (1,770 reservoirs covering 0.89 lakh ha + 59,591 village ponds covering 0.75 lakh ha) — a meaningful share remains below optimal stocking/yield levels.</t>
  </si>
  <si>
    <t>Reservoir-based cage culture in small/medium reservoirs; scientific carp polyculture in village ponds; scale the official Tilapia Cluster.</t>
  </si>
  <si>
    <t>State/CAA registration; Govt.-notified 'Tilapia Cluster' (PMMSY).</t>
  </si>
  <si>
    <t>ResearchGate, 'Aquaculture Development in Chhattisgarh, India' (2015-16 data); PIB Release ID 2213532.</t>
  </si>
  <si>
    <t>Figures from a 2015-16 academic paper; may be outdated relative to current reservoir development.</t>
  </si>
  <si>
    <t>Traditional Khazan (fish-rice-salt) wetland systems cover extensive coastal land, yet only 10 ha was recorded under formal shrimp farming in 2016 — a historically larger integrated system remains commercially under-utilized.</t>
  </si>
  <si>
    <t>Community-based revival of Khazan integrated aqua-agri-salt systems; develop the newly notified estuarine cage culture cluster for finfish.</t>
  </si>
  <si>
    <t>State/CAA registration; Govt.-notified 'Estuarine Cage Culture Cluster' (PMMSY); heritage/GI recognition for Khazan systems.</t>
  </si>
  <si>
    <t>2026</t>
  </si>
  <si>
    <t>ICAR-CIBA training manual, 'Area under shrimp farming in coastal states'; PIB Release ID 2213532.</t>
  </si>
  <si>
    <t>Single data point (10 ha, 2016) from a training-manual table; Khazan total area not independently verified.</t>
  </si>
  <si>
    <t>Despite a 1,600 km coastline, scientifically surveyed suitable brackishwater area is only ~7,500 ha (mainly Valsad, Surat, Bharuch); utilisation stood at just ~0.6% of potential historically, with area under shrimp farming reaching 4,552 ha by 2016.</t>
  </si>
  <si>
    <t>Expand BMP-based vannamei farming in South Gujarat; scale the officially notified Pearl Spot Cluster; pilot integrated aqua-agri in Kutch/Saurashtra saline lands.</t>
  </si>
  <si>
    <t>CAA registration; BAP/ASC; MPEDA Good Aquaculture Practices (GAP); Govt.-notified 'Pearl Spot Cluster' (PMMSY).</t>
  </si>
  <si>
    <t>FAO regional aquaculture assessment (Gujarat estuarine survey); PIB Release ID 2213532.</t>
  </si>
  <si>
    <t>Suitable-area figure from an older FAO regional assessment; may not reflect recent surveys.</t>
  </si>
  <si>
    <t>Part of a 4-state (Haryana, Punjab, Rajasthan, UP) pool of ~58,000 ha of identified saline-affected land, of which only ~2,608 ha (about 4.5%) is currently under aquaculture — Haryana itself leads with clusters in Sirsa, Rohtak, Hisar and Jind.</t>
  </si>
  <si>
    <t>Expand inland saline groundwater shrimp (L. vannamei) culture with pond-lining and water-efficient BMPs; scale the officially notified Saline Water Aquaculture Cluster.</t>
  </si>
  <si>
    <t>CAA registration (applicable to inland saline shrimp); Govt.-notified 'Saline Water Aquaculture Cluster' (PMMSY).</t>
  </si>
  <si>
    <t>2025-26 (PMMSY) / 2030</t>
  </si>
  <si>
    <t>Extension Journal (2025), 'Shrimp farming in saline inland ponds in Sonipat, Haryana', citing PIB (2025); PIB Release ID 2213532.</t>
  </si>
  <si>
    <t>Recent (2025) figures traceable to an official PIB-sourced review meeting.</t>
  </si>
  <si>
    <t>High-altitude cold-water streams and raceways suitable for trout culture remain only partly developed despite NFDB-assisted hatcheries, raceways and feed mills already established in the state.</t>
  </si>
  <si>
    <t>Expand rainbow trout raceway culture; strengthen hatchery networking under the officially notified Cold-Water Fisheries Cluster.</t>
  </si>
  <si>
    <t>State/CAA registration; Govt.-notified 'Cold-Water Fisheries Cluster' (PMMSY); potential GI tag ('Himalayan Trout').</t>
  </si>
  <si>
    <t>NFDB Brochure, 'Committed to Blue Revolution' (nfdb.gov.in); PIB Release ID 2213532.</t>
  </si>
  <si>
    <t>NFDB brochure confirms trout potential qualitatively but gives no current quantified hectare/production figure.</t>
  </si>
  <si>
    <t>Substantial cold-water potential; PMMSY has sanctioned only 751 trout raceways, 5 hatcheries and 5 feed mills so far against a much larger network of streams suitable for trout culture — Rs 154.57 crore sanctioned of which Rs 63.44 crore has been utilised to date.</t>
  </si>
  <si>
    <t>Expand trout raceway network and hatchery capacity; strengthen the officially notified Cold-Water Fisheries Cluster; extend biofloc/RAS units already piloted (64 units).</t>
  </si>
  <si>
    <t>State/CAA registration; Govt.-notified 'Cold-Water Fisheries Cluster' (PMMSY); potential GI tag for Kashmiri trout.</t>
  </si>
  <si>
    <t>Greater Kashmir, 'Rs 427 crore cold-water fisheries cluster notified in Anantnag' (Parliament data); PIB Release ID 2213532.</t>
  </si>
  <si>
    <t>Figures sourced from Parliament-tabled data reported by a credible news outlet.</t>
  </si>
  <si>
    <t>Thousands of ponds/tanks (85% privately owned) and major reservoirs (Chandil, Tenughat, Maithon dams) remain under-exploited; ornamental fisheries potential is described by the state as 'yet to be mapped'.</t>
  </si>
  <si>
    <t>Expand reservoir cage culture (as already piloted at Chandil dam); formalise community Matsya Mitra model statewide; develop the officially notified Pearl Cluster and giant freshwater prawn (scampi) farming.</t>
  </si>
  <si>
    <t>State/CAA registration; Govt.-notified 'Pearl Cluster' (PMMSY); SOP for pearl cultivation (Hazaribagh, PIB 2026).</t>
  </si>
  <si>
    <t>Down To Earth, 'Jharkhand taps its dam reservoirs...'; NABARD Ranchi inland-fish-culture note; PIB Release ID 2213532.</t>
  </si>
  <si>
    <t>Ornamental-fisheries potential explicitly described by the state itself as 'yet to be mapped' — inherently unquantified.</t>
  </si>
  <si>
    <t>Only 2,281 ha under coastal shrimp farming (2016); separately, ~45,000 freshwater lakes/tanks statewide (40-1,000 acres each; ~4,000 under the Minor Irrigation Dept.) remain largely unused for aquaculture.</t>
  </si>
  <si>
    <t>Tank/reservoir-based cage and pen culture leased to fisher cooperatives; BMP adoption in coastal shrimp farms; scale the officially notified Brackish Water Aquaculture Cluster.</t>
  </si>
  <si>
    <t>CAA registration; BAP/ASC; Govt.-notified 'Brackish Water Aquaculture Cluster' (PMMSY); State tank-leasing compliance certificate.</t>
  </si>
  <si>
    <t>2025 (State tank-leasing initiative) / PMMSY 2024-25</t>
  </si>
  <si>
    <t>Deccan Herald, 'Karnataka govt plans to promote aquaculture in most of its tanks'; ICAR-CIBA data table; PIB Release ID 2213532.</t>
  </si>
  <si>
    <t>Tank count from a news report on a minister's statement, not a published state audit.</t>
  </si>
  <si>
    <t>About 1.50 lakh ha of potential brackishwater area (incl. traditional Pokkali fields); only ~78,700 ha was developed by 1995 and 8,328 ha recorded under shrimp farming by 2016 — large traditional prawn-filtration fields remain low-input.</t>
  </si>
  <si>
    <t>Scientific Pokkali integrated rice-fish/shrimp farming; hatchery-based seed; scale the officially notified Murrel (snakehead) Cluster for diversification.</t>
  </si>
  <si>
    <t>NPOP Organic certification (Pokkali is a strong organic candidate); CAA registration; GI tag support; Govt.-notified 'Murrel Cluster' (PMMSY).</t>
  </si>
  <si>
    <t>FAO Regional Study on Environmental Assessment &amp; Management of Aquaculture Development; ICAR-CIBA monograph; PIB Release ID 2213532.</t>
  </si>
  <si>
    <t>Core 1.5 lakh ha figure and 1995 development data are dated; Pokkali area not independently re-verified.</t>
  </si>
  <si>
    <t>Large reservoir network (incl. Halali Dam) remains under-utilised for cage/pen culture relative to its surface area; state was chosen to host the national 'Inland Fisheries &amp; Aquaculture Meet 2025' to showcase reservoir potential.</t>
  </si>
  <si>
    <t>Scale up reservoir cage culture (launched at Halali Dam); strengthen the officially notified Reservoir Fisheries Cluster; adopt Guidelines for Reservoir Fisheries Management (2025).</t>
  </si>
  <si>
    <t>State/CAA registration; Govt.-notified 'Reservoir Fisheries Cluster' (PMMSY); national Guidelines for Reservoir Fisheries Management (Nov 2025).</t>
  </si>
  <si>
    <t>DrishtiIAS, 'Inland Fisheries &amp; Aquaculture Meet 2025' (Indore/Halali Dam launch); PIB Release ID 2213532.</t>
  </si>
  <si>
    <t>Recent (2025) official government event coverage (Inland Fisheries &amp; Aquaculture Meet).</t>
  </si>
  <si>
    <t>52,001 ha of potential brackishwater area identified, of which only 10,400 ha is considered suitable and just 1,359-6,567 ha (2016-2020 estimates) is actually utilised (~1.2% of potential); state ranks 7th nationally in fish production, dominated by marine (82%) over inland (18%) share.</t>
  </si>
  <si>
    <t>Expand BMP-based vannamei culture in Palghar, Thane, Raigad, Ratnagiri, Sindhudurg; grow inland/RAS share to rebalance the marine-inland mix; scale the officially notified Fisheries Cooperatives Cluster.</t>
  </si>
  <si>
    <t>CAA registration; BAP/ASC; Govt.-notified 'Fisheries Cooperatives Cluster' (PMMSY).</t>
  </si>
  <si>
    <t>Taylor &amp; Francis (2023), 'Occupational hazards of Indian shrimp farm workers' (CIBA 2020 data); NISCPR journal, 'Status and prospectus of fisheries...Maharashtra'; PIB Release ID 2213532.</t>
  </si>
  <si>
    <t>Sourced from a peer-reviewed 2023 journal citing CIBA institutional data.</t>
  </si>
  <si>
    <t>Rich riverine biodiversity (91 fish species recorded in Irrawaddy/Chindwin basins, highest among NE states); annual fish requirement of about 56,000 tonnes is not fully met locally, indicating a supply-demand gap despite high aquaculture productivity ranking (2nd in NE region).</t>
  </si>
  <si>
    <t>Scale the indigenous Pengba fish culture and hatchery seed production under the officially notified Pengba Fish Cluster; expand loktak-linked wetland fisheries sustainably.</t>
  </si>
  <si>
    <t>State/CAA registration; Govt.-notified 'Pengba Fish Cluster' (PMMSY).</t>
  </si>
  <si>
    <t>Bioinfo Publication journal, 'Fisheries and Aquaculture in Northeast India' (2025); PIB Release ID 2213532.</t>
  </si>
  <si>
    <t>Figures from an academic review with limited cross-source corroboration.</t>
  </si>
  <si>
    <t>Longest river/canal network among NE states (5,600 km) offers scope well beyond current utilisation; state was selected to host India's second organic fisheries cluster and recreational fisheries pilots in East Khasi Hills.</t>
  </si>
  <si>
    <t>Expand organic, low-input carp/indigenous-fish farming; develop recreational/angling tourism in East Khasi Hills; scale the officially notified Organic Fish Farming Cluster.</t>
  </si>
  <si>
    <t>NPOP Organic aquaculture certification; State/CAA registration; Govt.-notified 'Organic Fish Farming Cluster' (PMMSY).</t>
  </si>
  <si>
    <t>ResearchGate, 'Opportunities of Ornamental Fisheries...North East' (river-length data); ICSF, 'Unlocking the blue economy of Northeast'; PIB Release ID 2213532.</t>
  </si>
  <si>
    <t>River-length data is descriptive, not a direct measure of untapped aquaculture area.</t>
  </si>
  <si>
    <t>Limited but growing aquatic resource base (1,395 km of rivers/canals); paddy-cum-fish integrated systems remain a largely untapped opportunity given the state's extensive wet-rice cultivation area.</t>
  </si>
  <si>
    <t>Scale paddy-cum-fish integrated culture statewide under the officially notified Paddy-cum-Fish Cluster; promote community fish-pond schemes.</t>
  </si>
  <si>
    <t>State/CAA registration; Govt.-notified 'Paddy-cum-Fish Cluster' (PMMSY).</t>
  </si>
  <si>
    <t>ResearchGate NE water-resource table; PIB Release ID 2213532 (cluster notification).</t>
  </si>
  <si>
    <t>High Risk</t>
  </si>
  <si>
    <t>6/10</t>
  </si>
  <si>
    <t>Thinnest data of all rows — only a river-length figure found; no hectare/production potential data located.</t>
  </si>
  <si>
    <t>0.65 lakh ha of 'other water resources' identified; hatcheries in Mokokchung and Kiphire districts (21 million fry/year capacity) indicate seed-supply capability well ahead of current on-ground grow-out area utilisation.</t>
  </si>
  <si>
    <t>Scale integrated fish-livestock-poultry farming under the officially notified Integrated Fish Farming Cluster; expand hatchery-to-farmer seed linkage from Mokokchung/Kiphire.</t>
  </si>
  <si>
    <t>State/CAA registration; Govt.-notified 'Integrated Fish Farming Cluster' (PMMSY).</t>
  </si>
  <si>
    <t>ICSF, 'Unlocking the blue economy of Northeast' (hatchery capacity); Academia.edu NE fish-production study; PIB Release ID 2213532.</t>
  </si>
  <si>
    <t>Hatchery capacity figure is official-adjacent, but grow-out area potential is not separately quantified.</t>
  </si>
  <si>
    <t>4.18 lakh ha brackishwater resources (Chilika Lake 0.79 lakh ha, estuaries 2.98 lakh ha, brackishwater area 32,587 ha, backwaters 8,100 ha) plus 6.76 lakh ha freshwater resources; only ~8,991 ha was under shrimp farming (2016) — vast untapped estuarine/reservoir area.</t>
  </si>
  <si>
    <t>Integrated shrimp-crab-mangrove (silvo-aquaculture) around Chilika; reservoir-based cage/pen culture; scientific upgrade of extensive culture to BMP-based systems.</t>
  </si>
  <si>
    <t>CAA registration; BAP/ASC; Ramsar-compliant sustainable fisheries management for Chilika Lake.</t>
  </si>
  <si>
    <t>2025-26 (State Fisheries Policy / PMMSY)</t>
  </si>
  <si>
    <t>Govt. of Odisha Fisheries &amp; ARD Dept. data, compiled in Odisha PCS Exam Notes; NFDB records.</t>
  </si>
  <si>
    <t>Underlying figures are attributed to the state fisheries department but compiled via a secondary exam-notes site, not the primary document.</t>
  </si>
  <si>
    <t>Part of the 4-state ~58,000 ha saline-land pool (with Haryana, Rajasthan, UP), of which only ~2,608 ha is utilised; Punjab's expansion is concentrated in Sri Muktsar Sahib and Fazilka districts.</t>
  </si>
  <si>
    <t>Expand inland saline shrimp culture in south-western districts; establish the proposed Integrated Aqua Park in Sirsa-adjoining belt; scale the officially notified Saline Water Aquaculture Cluster.</t>
  </si>
  <si>
    <t>CAA registration; Govt.-notified 'Saline Water Aquaculture Cluster' (PMMSY).</t>
  </si>
  <si>
    <t>Global Agriculture, 'Government Pushes for Saline Aquaculture Hubs...' (2025); PIB Release ID 2213532.</t>
  </si>
  <si>
    <t>Recent (2025) figures traceable to an official review-meeting readout.</t>
  </si>
  <si>
    <t>Landlocked state with growing momentum in inland saline shrimp farming in salt-affected Churu and Ganganagar districts — only ~500 ha currently under Penaeus vannamei/milkfish/pearl spot culture against much larger identified saline tracts.</t>
  </si>
  <si>
    <t>Expand saline shrimp/milkfish/pearl spot culture in Churu-Ganganagar belt; strengthen the new diagnostic lab in Churu; scale the officially notified Saline Water Aquaculture Cluster.</t>
  </si>
  <si>
    <t>Global Agriculture, 'Government Pushes for Saline Aquaculture Hubs...' (2025, State Fisheries Dept. update); PIB Release ID 2213532.</t>
  </si>
  <si>
    <t>Recent (2025) figures traceable to the same official review-meeting readout.</t>
  </si>
  <si>
    <t>Cold-water hill streams support trout culture; the state was chosen to host India's first-ever officially notified Organic Fisheries Cluster, signalling recognised but still nascent commercial-scale aquaculture development.</t>
  </si>
  <si>
    <t>Scale organic, low-input trout/cold-water fish culture; leverage NFDB-assisted hatcheries and raceways; strengthen the officially notified Organic Fisheries Cluster.</t>
  </si>
  <si>
    <t>NPOP Organic aquaculture certification; State/CAA registration; Govt.-notified 'Organic Fisheries Cluster' (PMMSY) — India's first such cluster.</t>
  </si>
  <si>
    <t>PIB Release ID 2090525, 'Union Minister...Launches India's First Organic Fisheries Cluster in Sikkim'; NFDB Brochure.</t>
  </si>
  <si>
    <t>2/10</t>
  </si>
  <si>
    <t>Directly confirmed by an official PIB press release announcing the cluster launch.</t>
  </si>
  <si>
    <t>56,000 ha of brackish water identified as suitable for aquaculture (ICAR-CIBA); only about 10% (approx. 8,024 ha in 2016) is currently utilised — roughly 48,000 ha untapped, suitable for shrimp, seabass and mud crab.</t>
  </si>
  <si>
    <t>Diversify beyond L. vannamei into seabass, mud crab and indigenous P. indicus; expand mangrove-integrated/BMP farming; scale the officially notified Ornamental Fisheries Cluster (Madurai).</t>
  </si>
  <si>
    <t>CAA registration; BAP/ASC; NaCSA (MPEDA); Govt.-notified 'Ornamental Fisheries Cluster' (PMMSY); SOP for ornamental fisheries (Madurai, PIB 2026).</t>
  </si>
  <si>
    <t>2024-25 (PMMSY)</t>
  </si>
  <si>
    <t>The Fish Site (2019), ICAR-CIBA statement by M. Jayanthi; PIB Release ID 2213532.</t>
  </si>
  <si>
    <t>Core 56,000 ha figure is a single 2019 expert-quote data point, not a re-audited current figure.</t>
  </si>
  <si>
    <t>Third-largest inland water resource base in India (77 reservoirs, 4,647 major tanks, ~20,000 minor tanks; ~14 lakh acres water spread); estimated production potential of 10 lakh tonnes/year against actual production of only 2.46-3.5 lakh tonnes — well under half realised.</t>
  </si>
  <si>
    <t>Scale reservoir/tank-based cage culture (the officially notified Sea Cage Cluster model adapted inland); free fish-seed stocking to cooperative societies; leverage new Kaleshwaram-linked river corridors.</t>
  </si>
  <si>
    <t>State/CAA registration; Govt.-notified 'Sea Cage Cluster' (PMMSY).</t>
  </si>
  <si>
    <t>ICSF, 'Telangana: Transforming the fisheries sector'; PIB Release ID 2213532.</t>
  </si>
  <si>
    <t>Production potential vs actual figures are from a 2017-21 secondary report; likely outdated given Kaleshwaram project changes since.</t>
  </si>
  <si>
    <t>Records the highest per-capita urban fish consumption in the NE region (18 kg/yr, 2011-12) and contributes ~16% of NE fish production, yet the officially notified Pabda fisheries cluster indicates further species-diversification headroom.</t>
  </si>
  <si>
    <t>Scale indigenous Pabda catfish hatchery and grow-out culture under the officially notified Pabda Fisheries Cluster; expand ornamental fish exports via the Chittagong-port trade corridor.</t>
  </si>
  <si>
    <t>State/CAA registration; Govt.-notified 'Pabda Fisheries Cluster' (PMMSY).</t>
  </si>
  <si>
    <t>Academia.edu, 'Fish production in North East India'; Bioinfo Publication NE fisheries review; PIB Release ID 2213532.</t>
  </si>
  <si>
    <t>Consumption/production-share figures are from academic secondary sources with limited recency.</t>
  </si>
  <si>
    <t>1.36-1.37 lakh ha of inland saline/alkaline area identified (Mathura, Agra, Hathras, Raebareli), of which only ~28 ha had been trial-utilised for shrimp/brackish culture as of 2025; separately, 1.49 lakh ha of reservoirs yield only 15 kg/ha/yr against an achievable target of 280 kg/ha/yr.</t>
  </si>
  <si>
    <t>Scale saline shrimp trials into full commercial clusters (Pangasius Cluster already notified); apply scientific reservoir co-management to lift reservoir yield toward the 280 kg/ha benchmark; the state has attracted a Rs 4,000-crore private investment (Aqua Bridge Group) for 6-district expansion.</t>
  </si>
  <si>
    <t>CAA registration; Govt.-notified 'Pangasius Cluster' (PMMSY).</t>
  </si>
  <si>
    <t>ForumIAS, 'Aquaculture in UP and its Impact...' (2025); ICSF, 'Uttar Pradesh: Reservoir fisheries: The Way forward'; PIB Release ID 2213532.</t>
  </si>
  <si>
    <t>Recent (2025) figures from multiple corroborating sources including a large announced private investment.</t>
  </si>
  <si>
    <t>Hill state with cold-water streams and reservoirs (e.g., Chamera-linked NHPC waters) receiving fish-seed stocking (e.g., 27,000 Common Carp seed in one reservoir); commercial-scale trout/cold-water development remains limited relative to stream length.</t>
  </si>
  <si>
    <t>Expand rainbow trout raceway culture and reservoir stocking programmes; strengthen the officially notified Cold-Water Fisheries Cluster.</t>
  </si>
  <si>
    <t>State/CAA registration; Govt.-notified 'Cold-Water Fisheries Cluster' (PMMSY).</t>
  </si>
  <si>
    <t>Tribune India, 'Chamba's Chamera reservoir gets high quality Common Carp seeds'; PIB Release ID 2213532.</t>
  </si>
  <si>
    <t>Evidence is a single local news anecdote (one reservoir's seed stocking), not a state-wide potential figure.</t>
  </si>
  <si>
    <t>Holds the largest documented brackishwater area among coastal states owing to high tidal amplitude; 51,980 ha under shrimp farming by 2016 (up from 33,815 ha in 1990), yet dominated by low-intensity traditional 'bheri' systems in the Sundarbans with scope for scientific upgrade.</t>
  </si>
  <si>
    <t>Convert traditional bheri culture to improved extensive/semi-intensive systems with hatchery-based seed; strict biosecurity to protect the Sundarbans mangrove ecosystem; scale the officially notified Dry Fish Cluster for value addition.</t>
  </si>
  <si>
    <t>CAA registration; ASC/BAP; Govt.-notified 'Dry Fish Cluster' (PMMSY); eco-certification for Sundarbans-linked farms.</t>
  </si>
  <si>
    <t>2025-26 (PMMSY)</t>
  </si>
  <si>
    <t>ICAR-CIBA Training Manual, area-under-shrimp-farming tables; Academia.edu Sundarbans study; PIB Release ID 2213532.</t>
  </si>
  <si>
    <t>Core hectare series is a widely-cited academic table but not independently re-verified against a current state report.</t>
  </si>
  <si>
    <t>Estimated annual fishery potential of 1.48 lakh tonnes; only 830 ha (of 1,300 ha post-tsunami inundated land) has been identified as suitable for brackishwater aquaculture, and only 185.19 ha of ponds + 367 ha of reservoirs are currently developed — mariculture and tuna potential remain largely unexploited.</t>
  </si>
  <si>
    <t>Develop tuna/high-value pelagic mariculture and deep-sea fishing capacity under the officially notified Tuna Fisheries Cluster; expand brackishwater shrimp culture on suitable post-tsunami land; grow feed-based freshwater aquaculture.</t>
  </si>
  <si>
    <t>State/CAA registration; Govt.-notified 'Tuna Fisheries Cluster' (PMMSY); BAP/ASC for export-linked mariculture.</t>
  </si>
  <si>
    <t>2025-26 (Union Budget 2025-26 target)</t>
  </si>
  <si>
    <t>Connect Journals, 'Aquaculture Prospects in Andaman and Nicobar Islands'; A&amp;N Islands Fisheries Policy 2018; Krishi Jagran, Union Budget 2025-26 coverage; PIB Release ID 2213532.</t>
  </si>
  <si>
    <t>Corroborated across an official 2018 Islands Fisheries Policy document and a 2025 Union Budget report.</t>
  </si>
  <si>
    <t>Negligible natural aquaculture resource base (landlocked urban UT); as per data tabled in Parliament, Chandigarh has taken up NO fisheries development project under PMMSY to date — effectively a zero-utilisation UT with only very limited backyard/ornamental potential.</t>
  </si>
  <si>
    <t>Focus limited resource on urban ornamental fish retail and RAS/aquarium-based micro-enterprises rather than pond/reservoir aquaculture, given the absence of natural water-spread area.</t>
  </si>
  <si>
    <t>State registration where applicable; no dedicated national cluster notified for Chandigarh.</t>
  </si>
  <si>
    <t>Not applicable / low priority</t>
  </si>
  <si>
    <t>Greater Kashmir, 'Rs 427 crore cold-water fisheries cluster notified in Anantnag' (Parliament data on UT-wise PMMSY spend, confirming nil Chandigarh project).</t>
  </si>
  <si>
    <t>Simple, verifiable negative fact (nil PMMSY project) from Parliament-tabled data.</t>
  </si>
  <si>
    <t>Coastal UT with approved PMMSY investment of Rs 135.17 crore for rearing/grow-out ponds, ornamental units, cold storage and a seaweed brood bank — actual seaweed and brackishwater development remains at an early stage relative to approved scale.</t>
  </si>
  <si>
    <t>Build out the approved seaweed seed bank and brood bank; develop ornamental fish rearing units; scale the officially notified Fishing Harbour Cluster.</t>
  </si>
  <si>
    <t>State/CAA registration; Govt.-notified 'Fishing Harbour Cluster' (PMMSY); seaweed seed-bank certification under PMMSY guidelines.</t>
  </si>
  <si>
    <t>Plutus IAS, 'Fisheries in India: A lifeline for Indian economy' (DNH&amp;DD PMMSY investment); PIB Release ID 2112263 (Seaweed Production); PIB Release ID 2213532.</t>
  </si>
  <si>
    <t>Investment figure is official, but on-ground physical progress (ha developed) is not separately quantified.</t>
  </si>
  <si>
    <t>Minimal natural water-spread area; PMMSY has sanctioned only about Rs 5.33 crore of fisheries projects (data tabled in Parliament) — reflecting negligible untapped pond/reservoir potential but some scope in ornamental fish retail given the large urban consumer market.</t>
  </si>
  <si>
    <t>Focus on urban ornamental fish kiosks, RAS-based micro-units and fish retail-market modernisation rather than pond aquaculture expansion.</t>
  </si>
  <si>
    <t>State registration where applicable; no dedicated national cluster notified for Delhi.</t>
  </si>
  <si>
    <t>Greater Kashmir, Parliament data on UT-wise PMMSY spend (Delhi Rs 5.33 crore).</t>
  </si>
  <si>
    <t>Simple, verifiable Parliament-tabled spend figure.</t>
  </si>
  <si>
    <t>High-altitude cold-water potential remains nascent; PMMSY has sanctioned Rs 33.49 crore of fisheries projects and Ladakh has been designated the officially notified Cold-Water Fisheries Cluster.</t>
  </si>
  <si>
    <t>Develop trout raceway culture suited to high-altitude conditions; build hatchery and feed-mill capacity under the officially notified Cold-Water Fisheries Cluster.</t>
  </si>
  <si>
    <t>Greater Kashmir, Parliament data on UT-wise PMMSY spend (Ladakh Rs 33.49 crore); PIB Release ID 2213532.</t>
  </si>
  <si>
    <t>Simple, verifiable Parliament-tabled spend figure plus official cluster notification.</t>
  </si>
  <si>
    <t>Coral-atoll UT designated as India's officially notified Seaweed Cluster with 384 suitable sites (24,707 ha nationally) identified for seaweed culture; the Department of Fisheries has explicitly flagged 'unlocking the untapped aquaculture potential of Lakshadweep' as a national priority.</t>
  </si>
  <si>
    <t>Scale commercial seaweed raft/monoline culture; develop sustainable reef-safe mariculture and tuna-linked deep-sea fishing infrastructure.</t>
  </si>
  <si>
    <t>State/CAA registration; Govt.-notified 'Seaweed Cluster' (PMMSY); Guidelines for Import of Live Seaweeds (2025-26) for quality seed stock.</t>
  </si>
  <si>
    <t>PIB Release ID 2112263 (Seaweed Production notification); Plutus IAS, 'Fisheries in India: A lifeline...' (Lakshadweep potential); PIB Release ID 2213532.</t>
  </si>
  <si>
    <t>Cluster status and seaweed-site count are directly from official PIB releases.</t>
  </si>
  <si>
    <t>One of 10 officially recognised brackishwater states/UTs sharing a national potential pool of ~1.19 million ha, of which only ~1.36 lakh ha is developed nationally; coastal lagoons remain under-exploited for scientific culture.</t>
  </si>
  <si>
    <t>Hatchery-seed based BMP shrimp culture; diversify into seabass and pearlspot leveraging the ICAR-CIBA headquarters located in the region; scale the officially notified Fishing Harbour Cluster.</t>
  </si>
  <si>
    <t>CAA registration; BAP/ASC; Govt.-notified 'Fishing Harbour Cluster' (PMMSY).</t>
  </si>
  <si>
    <t>Taylor &amp; Francis (2023), 10-state brackishwater potential data (CIBA 2020); PIB Release ID 2213532.</t>
  </si>
  <si>
    <t>Relies on a shared 10-state pooled figure (CIBA 2020) rather than a Puducherry-specific number.</t>
  </si>
  <si>
    <t>National fish production reached 197.75 lakh tonnes (2024-25) against the PMMSY target of 220 lakh tonnes (22 million MT) by 2024-25 — a shortfall of over 22 lakh tonnes; marine catch of 44.95 lakh tonnes (2023-24) remains below the estimated marine potential of ~53.1 lakh tonnes; national brackishwater area of ~1.2 million ha remains only ~10-13% utilised; average aquaculture productivity is 4.7 t/ha against a 5 t/ha target.</t>
  </si>
  <si>
    <t>Nationwide adoption of BMP/biosecurity protocols under the CAA Act, 2005 and PMMSY guidelines; scale all 34 officially notified fisheries clusters; implement the National Framework on Traceability in Fisheries and Aquaculture (2025) and the Compendium of Coastal Aquaculture Guidelines (2025).</t>
  </si>
  <si>
    <t>Coastal Aquaculture Authority (CAA) registration (mandatory); BAP; ASC; GLOBALG.A.P; NaCSA (MPEDA) Farmer Group Certification; NPOP Organic certification where applicable; National Traceability Framework (2025).</t>
  </si>
  <si>
    <t>2024-25 (PMMSY Vision) / 2047 (long-term roadmap)</t>
  </si>
  <si>
    <t>PIB Release ID 2213532 (12-Jan-2026, official Year-in-Review data); PIB Release ID 2205029; IBEF Marine Products Industry report; Eximbank India sector report.</t>
  </si>
  <si>
    <t>Sourced directly from the most recent (12-Jan-2026) official PIB year-in-review release.</t>
  </si>
  <si>
    <t>Sheet 7: Institutional Fund Allocations and Financial Position</t>
  </si>
  <si>
    <t>Compiles national funding under PMMSY, Blue Revolution, and the audited financial position of the National Fisheries Development Board (NFDB).</t>
  </si>
  <si>
    <t>Financial Category</t>
  </si>
  <si>
    <t>Sub-Component / Allocation Item</t>
  </si>
  <si>
    <t>Sanctioned Outlay (₹ Crore)</t>
  </si>
  <si>
    <t>Beneficiaries / Target Scale</t>
  </si>
  <si>
    <t>Reference Basis / Audit Document</t>
  </si>
  <si>
    <t>Status Note</t>
  </si>
  <si>
    <t>National Scheme (PMMSY)</t>
  </si>
  <si>
    <t>Total PMMSY Investment (2020-25)</t>
  </si>
  <si>
    <t>All 36 States &amp; UTs</t>
  </si>
  <si>
    <t>PMMSY Operational Guidelines</t>
  </si>
  <si>
    <t>Umbrella scheme for Blue Revolution</t>
  </si>
  <si>
    <t>Central Government Share</t>
  </si>
  <si>
    <t>Central Sector &amp; Sponsored CSS</t>
  </si>
  <si>
    <t>Nodal disbursements</t>
  </si>
  <si>
    <t>State Government Share</t>
  </si>
  <si>
    <t>State Sponsored Matching Funds</t>
  </si>
  <si>
    <t>Disbursed proportionately</t>
  </si>
  <si>
    <t>Beneficiary Co-investments</t>
  </si>
  <si>
    <t>Private Farmers &amp; Entrepreneurs</t>
  </si>
  <si>
    <t>Promoting public-private partnerships</t>
  </si>
  <si>
    <t>Infrastructure Development</t>
  </si>
  <si>
    <t>Approved Integrated Aquaparks</t>
  </si>
  <si>
    <t>11 Multi-functional Aquaparks</t>
  </si>
  <si>
    <t>PMMSY Press Release 2025</t>
  </si>
  <si>
    <t>Sanctioned across various states</t>
  </si>
  <si>
    <t>Socio-Economic Welfare</t>
  </si>
  <si>
    <t>FFPO Allocation and Support</t>
  </si>
  <si>
    <t>2,195 approved FFPOs / Companies</t>
  </si>
  <si>
    <t>Economic Survey 2025-26</t>
  </si>
  <si>
    <t>Strengthening market links &amp; credit access</t>
  </si>
  <si>
    <t>Nutritional &amp; Livelihood Support</t>
  </si>
  <si>
    <t>4.33 lakh fisher families during ban</t>
  </si>
  <si>
    <t>Reinforcing income stability and protection</t>
  </si>
  <si>
    <t>Safety &amp; Sea Security</t>
  </si>
  <si>
    <t>Satellite Transponder Component</t>
  </si>
  <si>
    <t>1 lakh vessels provided transponders</t>
  </si>
  <si>
    <t>Free indigenous transponders for communication</t>
  </si>
  <si>
    <t>Modern Aquaculture Push</t>
  </si>
  <si>
    <t>Approved Recirculating Aquaculture (RAS)</t>
  </si>
  <si>
    <t>12,081 RAS units approved</t>
  </si>
  <si>
    <t>PMMSY Press Release (as of March 2026)</t>
  </si>
  <si>
    <t>Technology-driven water-efficient systems</t>
  </si>
  <si>
    <t>Approved Bio-floc Culture Units</t>
  </si>
  <si>
    <t>4,205 Bio-floc units approved</t>
  </si>
  <si>
    <t>Microbe-manipulated intensive culture</t>
  </si>
  <si>
    <t>NFDB Audited Accounts (24-25)</t>
  </si>
  <si>
    <t>NFDB Capital / Corpus Fund</t>
  </si>
  <si>
    <t>Capital Reserve Funds</t>
  </si>
  <si>
    <t>NFDB Audited Balance Sheet 2024-25</t>
  </si>
  <si>
    <t>Audited by AVRSK &amp; Associates LLP</t>
  </si>
  <si>
    <t>Earmarked Funds</t>
  </si>
  <si>
    <t>Targeted Project Reserves</t>
  </si>
  <si>
    <t>Unutilized grants carried forward</t>
  </si>
  <si>
    <t>Fixed Assets (WDV)</t>
  </si>
  <si>
    <t>Physical Infrastructure &amp; Brood Banks</t>
  </si>
  <si>
    <t>Fish Building Hyderabad &amp; Regional Centers</t>
  </si>
  <si>
    <t>Current Assets, Loans, Advances</t>
  </si>
  <si>
    <t>Bank deposits &amp; temporary disbursements</t>
  </si>
  <si>
    <t>Substantial liquid asset base</t>
  </si>
  <si>
    <t>Grants Received during the Year</t>
  </si>
  <si>
    <t>Annual Action Plan releases</t>
  </si>
  <si>
    <t>Released by Department of Fisheries, GoI</t>
  </si>
  <si>
    <t>Grants Utilised during the Year</t>
  </si>
  <si>
    <t>Project disbursements &amp; implementation</t>
  </si>
  <si>
    <t>Disbursed to implementing agencies</t>
  </si>
  <si>
    <t>DoF Handbook / MPEDA / State Fisheries Dept.</t>
  </si>
  <si>
    <t>Brackish Water/Pond</t>
  </si>
  <si>
    <t>Lagoon/Coastal</t>
  </si>
  <si>
    <t>Raceway/Stream</t>
  </si>
  <si>
    <t>Reservoir/Coldwater</t>
  </si>
  <si>
    <t>Pond/Water body</t>
  </si>
  <si>
    <t>Brackish Water</t>
  </si>
  <si>
    <t>Lake/Pond</t>
  </si>
  <si>
    <t>Brackish Water/Coastal</t>
  </si>
  <si>
    <t>Pond/Tank</t>
  </si>
  <si>
    <t>Reservoir/Raceway</t>
  </si>
  <si>
    <t>Reservoir</t>
  </si>
  <si>
    <t>Raceway/Coldwater</t>
  </si>
  <si>
    <t>Inland Saline/Reservoir</t>
  </si>
  <si>
    <t>Chaur/Oxbow Lake</t>
  </si>
  <si>
    <t>Beel/Oxbow Lake</t>
  </si>
  <si>
    <t>Hilly Stream/Raceway</t>
  </si>
  <si>
    <t>Utilization %
(formula: Used/Potential)</t>
  </si>
  <si>
    <t>Area Currently Under Culture
(hectares)</t>
  </si>
  <si>
    <t>Total Potential Area
(hectares)</t>
  </si>
  <si>
    <t>Water-body Type
(Pond/Reservoir/Brackish/Lake)</t>
  </si>
  <si>
    <t>YEAR-WISE SHEET — repeat one row per state x water-body type x year. This is what drives your utilization trend line chart.</t>
  </si>
  <si>
    <t>SHEET 2 — Resource Utilization: Actual vs Potential, YEAR-WISE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</si>
</sst>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₹#,##0.00"/>
  </numFmts>
  <fonts count="21" x14ac:knownFonts="1">
    <font>
      <sz val="11"/>
      <color theme="1"/>
      <name val="Calibri"/>
      <family val="2"/>
      <charset val="1"/>
    </font>
    <font>
      <b/>
      <sz val="16"/>
      <color rgb="FF2F5496"/>
      <name val="Calibri"/>
      <charset val="1"/>
    </font>
    <font>
      <b/>
      <sz val="11"/>
      <name val="Calibri"/>
      <charset val="1"/>
    </font>
    <font>
      <i/>
      <sz val="11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4"/>
      <color rgb="FF1E3D59"/>
      <name val="Calibri"/>
      <charset val="1"/>
    </font>
    <font>
      <i/>
      <sz val="10"/>
      <color rgb="FF555555"/>
      <name val="Calibri"/>
      <charset val="1"/>
    </font>
    <font>
      <sz val="10"/>
      <color rgb="FF333333"/>
      <name val="Calibri"/>
      <charset val="1"/>
    </font>
    <font>
      <b/>
      <sz val="14"/>
      <color rgb="FF1F4E78"/>
      <name val="Arial"/>
      <charset val="1"/>
    </font>
    <font>
      <i/>
      <sz val="10"/>
      <color rgb="FF40404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9C650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name val="Arial"/>
      <charset val="1"/>
    </font>
    <font>
      <i/>
      <sz val="10"/>
      <color rgb="FF000000"/>
      <name val="Calibri"/>
    </font>
    <font>
      <b/>
      <sz val="11"/>
      <color rgb="FFFFFFFF"/>
      <name val="Calibri"/>
    </font>
    <font>
      <b/>
      <i/>
      <sz val="10"/>
      <color rgb="FFFFFFFF"/>
      <name val="Calibri"/>
    </font>
    <font>
      <b/>
      <sz val="14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F2F2F2"/>
        <bgColor rgb="FFF2F6FA"/>
      </patternFill>
    </fill>
    <fill>
      <patternFill patternType="solid">
        <fgColor rgb="FFDCE6F1"/>
        <bgColor rgb="FFD6DCE4"/>
      </patternFill>
    </fill>
    <fill>
      <patternFill patternType="solid">
        <fgColor rgb="FFE2EFDA"/>
        <bgColor rgb="FFDCE6F1"/>
      </patternFill>
    </fill>
    <fill>
      <patternFill patternType="solid">
        <fgColor rgb="FFFFFFFF"/>
        <bgColor rgb="FFF5F7FA"/>
      </patternFill>
    </fill>
    <fill>
      <patternFill patternType="solid">
        <fgColor rgb="FF1E3D59"/>
        <bgColor rgb="FF1F4E78"/>
      </patternFill>
    </fill>
    <fill>
      <patternFill patternType="solid">
        <fgColor rgb="FFF5F7FA"/>
        <bgColor rgb="FFF2F6FA"/>
      </patternFill>
    </fill>
    <fill>
      <patternFill patternType="solid">
        <fgColor rgb="FF1F4E78"/>
        <bgColor rgb="FF2F5496"/>
      </patternFill>
    </fill>
    <fill>
      <patternFill patternType="solid">
        <fgColor rgb="FFFFEB9C"/>
        <bgColor rgb="FFFCE4D6"/>
      </patternFill>
    </fill>
    <fill>
      <patternFill patternType="solid">
        <fgColor rgb="FFF2F6FA"/>
        <bgColor rgb="FFF5F7F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FFF8E7"/>
        <bgColor rgb="FFFFF8E7"/>
      </patternFill>
    </fill>
    <fill>
      <patternFill patternType="solid">
        <fgColor rgb="FFFFFDF0"/>
        <bgColor rgb="FFFFFDF0"/>
      </patternFill>
    </fill>
    <fill>
      <patternFill patternType="solid">
        <fgColor rgb="FF005A36"/>
        <bgColor rgb="FF005A36"/>
      </patternFill>
    </fill>
    <fill>
      <patternFill patternType="solid">
        <fgColor rgb="FF1E3D59"/>
        <bgColor rgb="FF1E3D59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medium">
        <color rgb="FF2F5496"/>
      </bottom>
      <diagonal/>
    </border>
    <border>
      <left/>
      <right/>
      <top style="thin">
        <color rgb="FFD3D3D3"/>
      </top>
      <bottom style="double">
        <color rgb="FF2F549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6C2A6"/>
      </left>
      <right style="thin">
        <color rgb="FFA6C2A6"/>
      </right>
      <top style="thin">
        <color rgb="FFA6C2A6"/>
      </top>
      <bottom style="thin">
        <color rgb="FFA6C2A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left" vertical="top" wrapText="1"/>
    </xf>
    <xf numFmtId="0" fontId="13" fillId="10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/>
    </xf>
    <xf numFmtId="0" fontId="12" fillId="11" borderId="4" xfId="0" applyFont="1" applyFill="1" applyBorder="1" applyAlignment="1">
      <alignment horizontal="left" vertical="top" wrapText="1"/>
    </xf>
    <xf numFmtId="0" fontId="14" fillId="12" borderId="4" xfId="0" applyFont="1" applyFill="1" applyBorder="1" applyAlignment="1">
      <alignment horizontal="left" vertical="top" wrapText="1"/>
    </xf>
    <xf numFmtId="0" fontId="15" fillId="13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15" borderId="5" xfId="0" applyFont="1" applyFill="1" applyBorder="1" applyAlignment="1">
      <alignment horizontal="left" vertical="center" wrapText="1"/>
    </xf>
    <xf numFmtId="10" fontId="17" fillId="15" borderId="5" xfId="0" applyNumberFormat="1" applyFont="1" applyFill="1" applyBorder="1" applyAlignment="1">
      <alignment horizontal="right" vertical="center" wrapText="1"/>
    </xf>
    <xf numFmtId="3" fontId="17" fillId="15" borderId="5" xfId="0" applyNumberFormat="1" applyFont="1" applyFill="1" applyBorder="1" applyAlignment="1">
      <alignment horizontal="right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left" vertical="center" wrapText="1"/>
    </xf>
    <xf numFmtId="10" fontId="17" fillId="16" borderId="5" xfId="0" applyNumberFormat="1" applyFont="1" applyFill="1" applyBorder="1" applyAlignment="1">
      <alignment horizontal="right" vertical="center" wrapText="1"/>
    </xf>
    <xf numFmtId="3" fontId="17" fillId="16" borderId="5" xfId="0" applyNumberFormat="1" applyFont="1" applyFill="1" applyBorder="1" applyAlignment="1">
      <alignment horizontal="right" vertical="center" wrapText="1"/>
    </xf>
    <xf numFmtId="0" fontId="17" fillId="16" borderId="5" xfId="0" applyFont="1" applyFill="1" applyBorder="1" applyAlignment="1">
      <alignment horizontal="center" vertical="center" wrapText="1"/>
    </xf>
    <xf numFmtId="0" fontId="18" fillId="17" borderId="5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9" fillId="17" borderId="0" xfId="0" applyFont="1" applyFill="1" applyAlignment="1">
      <alignment horizontal="left" vertical="center" indent="1"/>
    </xf>
    <xf numFmtId="0" fontId="0" fillId="0" borderId="0" xfId="0"/>
    <xf numFmtId="0" fontId="20" fillId="1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6FA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555555"/>
      <rgbColor rgb="FF9999FF"/>
      <rgbColor rgb="FF993366"/>
      <rgbColor rgb="FFF5F7FA"/>
      <rgbColor rgb="FFE2EFDA"/>
      <rgbColor rgb="FF660066"/>
      <rgbColor rgb="FFFF8080"/>
      <rgbColor rgb="FF1F4E78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D6DCE4"/>
      <rgbColor rgb="FFFCE4D6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3D59"/>
      <rgbColor rgb="FF339966"/>
      <rgbColor rgb="FF003300"/>
      <rgbColor rgb="FF40404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topLeftCell="E1" zoomScaleNormal="100" workbookViewId="0">
      <pane ySplit="4" topLeftCell="A5" activePane="bottomLeft" state="frozen"/>
      <selection pane="bottomLeft" activeCell="F2" sqref="F2"/>
    </sheetView>
  </sheetViews>
  <sheetFormatPr defaultColWidth="8.6640625" defaultRowHeight="14.4" x14ac:dyDescent="0.3"/>
  <cols>
    <col min="1" max="1" width="113" customWidth="1"/>
    <col min="2" max="2" width="23" customWidth="1"/>
    <col min="3" max="3" width="27" customWidth="1"/>
    <col min="4" max="4" width="24" customWidth="1"/>
    <col min="5" max="5" width="41" customWidth="1"/>
    <col min="6" max="6" width="33" customWidth="1"/>
    <col min="7" max="8" width="34" customWidth="1"/>
    <col min="9" max="9" width="49" customWidth="1"/>
  </cols>
  <sheetData>
    <row r="1" spans="1:9" ht="19.5" customHeight="1" x14ac:dyDescent="0.4">
      <c r="A1" s="1" t="s">
        <v>1</v>
      </c>
    </row>
    <row r="2" spans="1:9" ht="15" customHeight="1" x14ac:dyDescent="0.3">
      <c r="A2" s="2" t="s">
        <v>2</v>
      </c>
    </row>
    <row r="4" spans="1:9" ht="15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ht="15" customHeight="1" x14ac:dyDescent="0.3">
      <c r="A5" s="4" t="s">
        <v>12</v>
      </c>
      <c r="B5" s="5">
        <v>11514</v>
      </c>
      <c r="C5" s="5">
        <v>34693</v>
      </c>
      <c r="D5" s="5">
        <v>130898</v>
      </c>
      <c r="E5" s="5">
        <v>0</v>
      </c>
      <c r="F5" s="5">
        <v>47080</v>
      </c>
      <c r="G5" s="5">
        <v>130000</v>
      </c>
      <c r="H5" s="6">
        <f t="shared" ref="H5:H41" si="0">SUM(C5:G5)</f>
        <v>342671</v>
      </c>
      <c r="I5" s="7" t="s">
        <v>13</v>
      </c>
    </row>
    <row r="6" spans="1:9" ht="15" customHeight="1" x14ac:dyDescent="0.3">
      <c r="A6" s="8" t="s">
        <v>14</v>
      </c>
      <c r="B6" s="5">
        <v>11035</v>
      </c>
      <c r="C6" s="5">
        <v>49448</v>
      </c>
      <c r="D6" s="5">
        <v>3978</v>
      </c>
      <c r="E6" s="5">
        <v>530</v>
      </c>
      <c r="F6" s="5">
        <v>0</v>
      </c>
      <c r="G6" s="5">
        <v>0</v>
      </c>
      <c r="H6" s="6">
        <f t="shared" si="0"/>
        <v>53956</v>
      </c>
      <c r="I6" s="9" t="s">
        <v>13</v>
      </c>
    </row>
    <row r="7" spans="1:9" ht="15" customHeight="1" x14ac:dyDescent="0.3">
      <c r="A7" s="4" t="s">
        <v>15</v>
      </c>
      <c r="B7" s="5">
        <v>11304</v>
      </c>
      <c r="C7" s="5">
        <v>169292</v>
      </c>
      <c r="D7" s="5">
        <v>3096</v>
      </c>
      <c r="E7" s="5">
        <v>154277</v>
      </c>
      <c r="F7" s="5">
        <v>0</v>
      </c>
      <c r="G7" s="5">
        <v>0</v>
      </c>
      <c r="H7" s="6">
        <f t="shared" si="0"/>
        <v>326665</v>
      </c>
      <c r="I7" s="7" t="s">
        <v>13</v>
      </c>
    </row>
    <row r="8" spans="1:9" ht="15" customHeight="1" x14ac:dyDescent="0.3">
      <c r="A8" s="8" t="s">
        <v>16</v>
      </c>
      <c r="B8" s="5">
        <v>21354</v>
      </c>
      <c r="C8" s="5">
        <v>125942</v>
      </c>
      <c r="D8" s="5">
        <v>5045</v>
      </c>
      <c r="E8" s="5">
        <v>13804</v>
      </c>
      <c r="F8" s="5">
        <v>0</v>
      </c>
      <c r="G8" s="5">
        <v>0</v>
      </c>
      <c r="H8" s="6">
        <f t="shared" si="0"/>
        <v>144791</v>
      </c>
      <c r="I8" s="9" t="s">
        <v>13</v>
      </c>
    </row>
    <row r="9" spans="1:9" ht="15" customHeight="1" x14ac:dyDescent="0.3">
      <c r="A9" s="4" t="s">
        <v>17</v>
      </c>
      <c r="B9" s="5">
        <v>3573</v>
      </c>
      <c r="C9" s="5">
        <v>121300</v>
      </c>
      <c r="D9" s="5">
        <v>43565</v>
      </c>
      <c r="E9" s="5">
        <v>0</v>
      </c>
      <c r="F9" s="5">
        <v>0</v>
      </c>
      <c r="G9" s="5">
        <v>0</v>
      </c>
      <c r="H9" s="6">
        <f t="shared" si="0"/>
        <v>164865</v>
      </c>
      <c r="I9" s="7" t="s">
        <v>13</v>
      </c>
    </row>
    <row r="10" spans="1:9" ht="15" customHeight="1" x14ac:dyDescent="0.3">
      <c r="A10" s="8" t="s">
        <v>18</v>
      </c>
      <c r="B10" s="5">
        <v>579</v>
      </c>
      <c r="C10" s="5">
        <v>51</v>
      </c>
      <c r="D10" s="5">
        <v>484</v>
      </c>
      <c r="E10" s="5">
        <v>0</v>
      </c>
      <c r="F10" s="5">
        <v>161</v>
      </c>
      <c r="G10" s="5">
        <v>0</v>
      </c>
      <c r="H10" s="6">
        <f t="shared" si="0"/>
        <v>696</v>
      </c>
      <c r="I10" s="9" t="s">
        <v>13</v>
      </c>
    </row>
    <row r="11" spans="1:9" ht="15" customHeight="1" x14ac:dyDescent="0.3">
      <c r="A11" s="4" t="s">
        <v>19</v>
      </c>
      <c r="B11" s="5">
        <v>3865</v>
      </c>
      <c r="C11" s="5">
        <v>22000</v>
      </c>
      <c r="D11" s="5">
        <v>92566</v>
      </c>
      <c r="E11" s="5">
        <v>0</v>
      </c>
      <c r="F11" s="5">
        <v>89341</v>
      </c>
      <c r="G11" s="5">
        <v>0</v>
      </c>
      <c r="H11" s="6">
        <f t="shared" si="0"/>
        <v>203907</v>
      </c>
      <c r="I11" s="7" t="s">
        <v>13</v>
      </c>
    </row>
    <row r="12" spans="1:9" ht="15" customHeight="1" x14ac:dyDescent="0.3">
      <c r="A12" s="8" t="s">
        <v>20</v>
      </c>
      <c r="B12" s="5">
        <v>14885</v>
      </c>
      <c r="C12" s="5">
        <v>18468</v>
      </c>
      <c r="D12" s="5">
        <v>255</v>
      </c>
      <c r="E12" s="5">
        <v>0</v>
      </c>
      <c r="F12" s="5">
        <v>0</v>
      </c>
      <c r="G12" s="5">
        <v>1755</v>
      </c>
      <c r="H12" s="6">
        <f t="shared" si="0"/>
        <v>20478</v>
      </c>
      <c r="I12" s="9" t="s">
        <v>13</v>
      </c>
    </row>
    <row r="13" spans="1:9" ht="15" customHeight="1" x14ac:dyDescent="0.3">
      <c r="A13" s="4" t="s">
        <v>21</v>
      </c>
      <c r="B13" s="5">
        <v>3000</v>
      </c>
      <c r="C13" s="5">
        <v>896</v>
      </c>
      <c r="D13" s="5">
        <v>43785</v>
      </c>
      <c r="E13" s="5">
        <v>0</v>
      </c>
      <c r="F13" s="5">
        <v>0</v>
      </c>
      <c r="G13" s="5">
        <v>0</v>
      </c>
      <c r="H13" s="6">
        <f t="shared" si="0"/>
        <v>44681</v>
      </c>
      <c r="I13" s="7" t="s">
        <v>13</v>
      </c>
    </row>
    <row r="14" spans="1:9" ht="15" customHeight="1" x14ac:dyDescent="0.3">
      <c r="A14" s="8" t="s">
        <v>22</v>
      </c>
      <c r="B14" s="5">
        <v>26211</v>
      </c>
      <c r="C14" s="5">
        <v>1721</v>
      </c>
      <c r="D14" s="5">
        <v>4230</v>
      </c>
      <c r="E14" s="5">
        <v>0</v>
      </c>
      <c r="F14" s="5">
        <v>0</v>
      </c>
      <c r="G14" s="5">
        <v>0</v>
      </c>
      <c r="H14" s="6">
        <f t="shared" si="0"/>
        <v>5951</v>
      </c>
      <c r="I14" s="9" t="s">
        <v>13</v>
      </c>
    </row>
    <row r="15" spans="1:9" ht="15" customHeight="1" x14ac:dyDescent="0.3">
      <c r="A15" s="4" t="s">
        <v>23</v>
      </c>
      <c r="B15" s="5">
        <v>1800</v>
      </c>
      <c r="C15" s="5">
        <v>93198</v>
      </c>
      <c r="D15" s="5">
        <v>28790</v>
      </c>
      <c r="E15" s="5">
        <v>0</v>
      </c>
      <c r="F15" s="5">
        <v>0</v>
      </c>
      <c r="G15" s="5">
        <v>0</v>
      </c>
      <c r="H15" s="6">
        <f t="shared" si="0"/>
        <v>121988</v>
      </c>
      <c r="I15" s="7" t="s">
        <v>13</v>
      </c>
    </row>
    <row r="16" spans="1:9" ht="15" customHeight="1" x14ac:dyDescent="0.3">
      <c r="A16" s="8" t="s">
        <v>24</v>
      </c>
      <c r="B16" s="5">
        <v>9630</v>
      </c>
      <c r="C16" s="5">
        <v>313304</v>
      </c>
      <c r="D16" s="5">
        <v>7595</v>
      </c>
      <c r="E16" s="5">
        <v>0</v>
      </c>
      <c r="F16" s="5">
        <v>8000</v>
      </c>
      <c r="G16" s="5">
        <v>0</v>
      </c>
      <c r="H16" s="6">
        <f t="shared" si="0"/>
        <v>328899</v>
      </c>
      <c r="I16" s="9" t="s">
        <v>13</v>
      </c>
    </row>
    <row r="17" spans="1:9" ht="15" customHeight="1" x14ac:dyDescent="0.3">
      <c r="A17" s="4" t="s">
        <v>25</v>
      </c>
      <c r="B17" s="5">
        <v>3220</v>
      </c>
      <c r="C17" s="5">
        <v>27625</v>
      </c>
      <c r="D17" s="5">
        <v>7551</v>
      </c>
      <c r="E17" s="5">
        <v>85000</v>
      </c>
      <c r="F17" s="5">
        <v>65213</v>
      </c>
      <c r="G17" s="5">
        <v>0</v>
      </c>
      <c r="H17" s="6">
        <f t="shared" si="0"/>
        <v>185389</v>
      </c>
      <c r="I17" s="7" t="s">
        <v>13</v>
      </c>
    </row>
    <row r="18" spans="1:9" ht="15" customHeight="1" x14ac:dyDescent="0.3">
      <c r="A18" s="8" t="s">
        <v>26</v>
      </c>
      <c r="B18" s="5">
        <v>17088</v>
      </c>
      <c r="C18" s="5">
        <v>36794</v>
      </c>
      <c r="D18" s="5">
        <v>127088</v>
      </c>
      <c r="E18" s="5">
        <v>0</v>
      </c>
      <c r="F18" s="5">
        <v>0</v>
      </c>
      <c r="G18" s="5">
        <v>0</v>
      </c>
      <c r="H18" s="6">
        <f t="shared" si="0"/>
        <v>163882</v>
      </c>
      <c r="I18" s="9" t="s">
        <v>13</v>
      </c>
    </row>
    <row r="19" spans="1:9" ht="15" customHeight="1" x14ac:dyDescent="0.3">
      <c r="A19" s="4" t="s">
        <v>27</v>
      </c>
      <c r="B19" s="5">
        <v>17861</v>
      </c>
      <c r="C19" s="5">
        <v>69218</v>
      </c>
      <c r="D19" s="5">
        <v>169901</v>
      </c>
      <c r="E19" s="5">
        <v>5550</v>
      </c>
      <c r="F19" s="5">
        <v>17125</v>
      </c>
      <c r="G19" s="5">
        <v>44144</v>
      </c>
      <c r="H19" s="6">
        <f t="shared" si="0"/>
        <v>305938</v>
      </c>
      <c r="I19" s="7" t="s">
        <v>13</v>
      </c>
    </row>
    <row r="20" spans="1:9" ht="15" customHeight="1" x14ac:dyDescent="0.3">
      <c r="A20" s="8" t="s">
        <v>28</v>
      </c>
      <c r="B20" s="5">
        <v>1647</v>
      </c>
      <c r="C20" s="5">
        <v>12043</v>
      </c>
      <c r="D20" s="5">
        <v>960</v>
      </c>
      <c r="E20" s="5">
        <v>29161</v>
      </c>
      <c r="F20" s="5">
        <v>0</v>
      </c>
      <c r="G20" s="5">
        <v>0</v>
      </c>
      <c r="H20" s="6">
        <f t="shared" si="0"/>
        <v>42164</v>
      </c>
      <c r="I20" s="9" t="s">
        <v>13</v>
      </c>
    </row>
    <row r="21" spans="1:9" ht="15" customHeight="1" x14ac:dyDescent="0.3">
      <c r="A21" s="4" t="s">
        <v>29</v>
      </c>
      <c r="B21" s="5">
        <v>5392</v>
      </c>
      <c r="C21" s="5">
        <v>2132</v>
      </c>
      <c r="D21" s="5">
        <v>216</v>
      </c>
      <c r="E21" s="5">
        <v>0</v>
      </c>
      <c r="F21" s="5">
        <v>0</v>
      </c>
      <c r="G21" s="5">
        <v>0</v>
      </c>
      <c r="H21" s="6">
        <f t="shared" si="0"/>
        <v>2348</v>
      </c>
      <c r="I21" s="7" t="s">
        <v>13</v>
      </c>
    </row>
    <row r="22" spans="1:9" ht="15" customHeight="1" x14ac:dyDescent="0.3">
      <c r="A22" s="8" t="s">
        <v>30</v>
      </c>
      <c r="B22" s="5">
        <v>1395</v>
      </c>
      <c r="C22" s="5">
        <v>5400</v>
      </c>
      <c r="D22" s="5">
        <v>1700</v>
      </c>
      <c r="E22" s="5">
        <v>0</v>
      </c>
      <c r="F22" s="5">
        <v>0</v>
      </c>
      <c r="G22" s="5">
        <v>0</v>
      </c>
      <c r="H22" s="6">
        <f t="shared" si="0"/>
        <v>7100</v>
      </c>
      <c r="I22" s="9" t="s">
        <v>13</v>
      </c>
    </row>
    <row r="23" spans="1:9" ht="15" customHeight="1" x14ac:dyDescent="0.3">
      <c r="A23" s="4" t="s">
        <v>31</v>
      </c>
      <c r="B23" s="5">
        <v>1600</v>
      </c>
      <c r="C23" s="5">
        <v>3524</v>
      </c>
      <c r="D23" s="5">
        <v>2258</v>
      </c>
      <c r="E23" s="5">
        <v>1100</v>
      </c>
      <c r="F23" s="5">
        <v>0</v>
      </c>
      <c r="G23" s="5">
        <v>0</v>
      </c>
      <c r="H23" s="6">
        <f t="shared" si="0"/>
        <v>6882</v>
      </c>
      <c r="I23" s="7" t="s">
        <v>13</v>
      </c>
    </row>
    <row r="24" spans="1:9" ht="15" customHeight="1" x14ac:dyDescent="0.3">
      <c r="A24" s="8" t="s">
        <v>32</v>
      </c>
      <c r="B24" s="5">
        <v>4500</v>
      </c>
      <c r="C24" s="5">
        <v>125000</v>
      </c>
      <c r="D24" s="5">
        <v>256000</v>
      </c>
      <c r="E24" s="5">
        <v>180000</v>
      </c>
      <c r="F24" s="5">
        <v>24200</v>
      </c>
      <c r="G24" s="5">
        <v>0</v>
      </c>
      <c r="H24" s="6">
        <f t="shared" si="0"/>
        <v>585200</v>
      </c>
      <c r="I24" s="9" t="s">
        <v>13</v>
      </c>
    </row>
    <row r="25" spans="1:9" ht="15" customHeight="1" x14ac:dyDescent="0.3">
      <c r="A25" s="4" t="s">
        <v>33</v>
      </c>
      <c r="B25" s="5">
        <v>3000</v>
      </c>
      <c r="C25" s="5">
        <v>15000</v>
      </c>
      <c r="D25" s="5">
        <v>2000</v>
      </c>
      <c r="E25" s="5">
        <v>0</v>
      </c>
      <c r="F25" s="5">
        <v>0</v>
      </c>
      <c r="G25" s="5">
        <v>150</v>
      </c>
      <c r="H25" s="6">
        <f t="shared" si="0"/>
        <v>17150</v>
      </c>
      <c r="I25" s="7" t="s">
        <v>13</v>
      </c>
    </row>
    <row r="26" spans="1:9" ht="15" customHeight="1" x14ac:dyDescent="0.3">
      <c r="A26" s="8" t="s">
        <v>34</v>
      </c>
      <c r="B26" s="5">
        <v>5290</v>
      </c>
      <c r="C26" s="5">
        <v>18000</v>
      </c>
      <c r="D26" s="5">
        <v>30000</v>
      </c>
      <c r="E26" s="5">
        <v>0</v>
      </c>
      <c r="F26" s="5">
        <v>0</v>
      </c>
      <c r="G26" s="5">
        <v>0</v>
      </c>
      <c r="H26" s="6">
        <f t="shared" si="0"/>
        <v>48000</v>
      </c>
      <c r="I26" s="9" t="s">
        <v>13</v>
      </c>
    </row>
    <row r="27" spans="1:9" ht="15" customHeight="1" x14ac:dyDescent="0.3">
      <c r="A27" s="4" t="s">
        <v>35</v>
      </c>
      <c r="B27" s="5">
        <v>900</v>
      </c>
      <c r="C27" s="5">
        <v>300</v>
      </c>
      <c r="D27" s="5">
        <v>50</v>
      </c>
      <c r="E27" s="5">
        <v>0</v>
      </c>
      <c r="F27" s="5">
        <v>0</v>
      </c>
      <c r="G27" s="5">
        <v>0</v>
      </c>
      <c r="H27" s="6">
        <f t="shared" si="0"/>
        <v>350</v>
      </c>
      <c r="I27" s="7" t="s">
        <v>13</v>
      </c>
    </row>
    <row r="28" spans="1:9" ht="15" customHeight="1" x14ac:dyDescent="0.3">
      <c r="A28" s="8" t="s">
        <v>36</v>
      </c>
      <c r="B28" s="5">
        <v>6170</v>
      </c>
      <c r="C28" s="5">
        <v>12600</v>
      </c>
      <c r="D28" s="5">
        <v>60000</v>
      </c>
      <c r="E28" s="5">
        <v>0</v>
      </c>
      <c r="F28" s="5">
        <v>56000</v>
      </c>
      <c r="G28" s="5">
        <v>0</v>
      </c>
      <c r="H28" s="6">
        <f t="shared" si="0"/>
        <v>128600</v>
      </c>
      <c r="I28" s="9" t="s">
        <v>13</v>
      </c>
    </row>
    <row r="29" spans="1:9" ht="15" customHeight="1" x14ac:dyDescent="0.3">
      <c r="A29" s="4" t="s">
        <v>37</v>
      </c>
      <c r="B29" s="5">
        <v>9630</v>
      </c>
      <c r="C29" s="5">
        <v>45000</v>
      </c>
      <c r="D29" s="5">
        <v>265000</v>
      </c>
      <c r="E29" s="5">
        <v>0</v>
      </c>
      <c r="F29" s="5">
        <v>0</v>
      </c>
      <c r="G29" s="5">
        <v>0</v>
      </c>
      <c r="H29" s="6">
        <f t="shared" si="0"/>
        <v>310000</v>
      </c>
      <c r="I29" s="7" t="s">
        <v>13</v>
      </c>
    </row>
    <row r="30" spans="1:9" ht="15" customHeight="1" x14ac:dyDescent="0.3">
      <c r="A30" s="8" t="s">
        <v>38</v>
      </c>
      <c r="B30" s="5">
        <v>1080</v>
      </c>
      <c r="C30" s="5">
        <v>29368</v>
      </c>
      <c r="D30" s="5">
        <v>3049</v>
      </c>
      <c r="E30" s="5">
        <v>100</v>
      </c>
      <c r="F30" s="5">
        <v>0</v>
      </c>
      <c r="G30" s="5">
        <v>0</v>
      </c>
      <c r="H30" s="6">
        <f t="shared" si="0"/>
        <v>32517</v>
      </c>
      <c r="I30" s="9" t="s">
        <v>13</v>
      </c>
    </row>
    <row r="31" spans="1:9" ht="15" customHeight="1" x14ac:dyDescent="0.3">
      <c r="A31" s="4" t="s">
        <v>39</v>
      </c>
      <c r="B31" s="5">
        <v>28500</v>
      </c>
      <c r="C31" s="5">
        <v>160100</v>
      </c>
      <c r="D31" s="5">
        <v>150000</v>
      </c>
      <c r="E31" s="5">
        <v>138000</v>
      </c>
      <c r="F31" s="5">
        <v>0</v>
      </c>
      <c r="G31" s="5">
        <v>0</v>
      </c>
      <c r="H31" s="6">
        <f t="shared" si="0"/>
        <v>448100</v>
      </c>
      <c r="I31" s="7" t="s">
        <v>13</v>
      </c>
    </row>
    <row r="32" spans="1:9" ht="15" customHeight="1" x14ac:dyDescent="0.3">
      <c r="A32" s="8" t="s">
        <v>40</v>
      </c>
      <c r="B32" s="5">
        <v>2686</v>
      </c>
      <c r="C32" s="5">
        <v>1500</v>
      </c>
      <c r="D32" s="5">
        <v>20000</v>
      </c>
      <c r="E32" s="5">
        <v>50</v>
      </c>
      <c r="F32" s="5">
        <v>0</v>
      </c>
      <c r="G32" s="5">
        <v>0</v>
      </c>
      <c r="H32" s="6">
        <f t="shared" si="0"/>
        <v>21550</v>
      </c>
      <c r="I32" s="9" t="s">
        <v>13</v>
      </c>
    </row>
    <row r="33" spans="1:9" ht="15" customHeight="1" x14ac:dyDescent="0.3">
      <c r="A33" s="4" t="s">
        <v>41</v>
      </c>
      <c r="B33" s="5">
        <v>2526</v>
      </c>
      <c r="C33" s="5">
        <v>110000</v>
      </c>
      <c r="D33" s="5">
        <v>20000</v>
      </c>
      <c r="E33" s="5">
        <v>43000</v>
      </c>
      <c r="F33" s="5">
        <v>56059</v>
      </c>
      <c r="G33" s="5">
        <v>0</v>
      </c>
      <c r="H33" s="6">
        <f t="shared" si="0"/>
        <v>229059</v>
      </c>
      <c r="I33" s="7" t="s">
        <v>13</v>
      </c>
    </row>
    <row r="34" spans="1:9" ht="15" customHeight="1" x14ac:dyDescent="0.3">
      <c r="A34" s="8" t="s">
        <v>42</v>
      </c>
      <c r="B34" s="5">
        <v>115</v>
      </c>
      <c r="C34" s="5">
        <v>100</v>
      </c>
      <c r="D34" s="5">
        <v>50</v>
      </c>
      <c r="E34" s="5">
        <v>0</v>
      </c>
      <c r="F34" s="5">
        <v>12000</v>
      </c>
      <c r="G34" s="5">
        <v>0</v>
      </c>
      <c r="H34" s="6">
        <f t="shared" si="0"/>
        <v>12150</v>
      </c>
      <c r="I34" s="9" t="s">
        <v>13</v>
      </c>
    </row>
    <row r="35" spans="1:9" ht="15" customHeight="1" x14ac:dyDescent="0.3">
      <c r="A35" s="4" t="s">
        <v>43</v>
      </c>
      <c r="B35" s="5">
        <v>10</v>
      </c>
      <c r="C35" s="5">
        <v>20</v>
      </c>
      <c r="D35" s="5">
        <v>0</v>
      </c>
      <c r="E35" s="5">
        <v>0</v>
      </c>
      <c r="F35" s="5">
        <v>0</v>
      </c>
      <c r="G35" s="5">
        <v>0</v>
      </c>
      <c r="H35" s="6">
        <f t="shared" si="0"/>
        <v>20</v>
      </c>
      <c r="I35" s="7" t="s">
        <v>13</v>
      </c>
    </row>
    <row r="36" spans="1:9" ht="15" customHeight="1" x14ac:dyDescent="0.3">
      <c r="A36" s="8" t="s">
        <v>44</v>
      </c>
      <c r="B36" s="5">
        <v>50</v>
      </c>
      <c r="C36" s="5">
        <v>30</v>
      </c>
      <c r="D36" s="5">
        <v>10</v>
      </c>
      <c r="E36" s="5">
        <v>0</v>
      </c>
      <c r="F36" s="5">
        <v>100</v>
      </c>
      <c r="G36" s="5">
        <v>0</v>
      </c>
      <c r="H36" s="6">
        <f t="shared" si="0"/>
        <v>140</v>
      </c>
      <c r="I36" s="9" t="s">
        <v>13</v>
      </c>
    </row>
    <row r="37" spans="1:9" ht="15" customHeight="1" x14ac:dyDescent="0.3">
      <c r="A37" s="4" t="s">
        <v>45</v>
      </c>
      <c r="B37" s="5">
        <v>150</v>
      </c>
      <c r="C37" s="5">
        <v>80</v>
      </c>
      <c r="D37" s="5">
        <v>0</v>
      </c>
      <c r="E37" s="5">
        <v>0</v>
      </c>
      <c r="F37" s="5">
        <v>0</v>
      </c>
      <c r="G37" s="5">
        <v>10</v>
      </c>
      <c r="H37" s="6">
        <f t="shared" si="0"/>
        <v>90</v>
      </c>
      <c r="I37" s="7" t="s">
        <v>13</v>
      </c>
    </row>
    <row r="38" spans="1:9" ht="15" customHeight="1" x14ac:dyDescent="0.3">
      <c r="A38" s="8" t="s">
        <v>46</v>
      </c>
      <c r="B38" s="5">
        <v>1885</v>
      </c>
      <c r="C38" s="5">
        <v>250</v>
      </c>
      <c r="D38" s="5">
        <v>0</v>
      </c>
      <c r="E38" s="5">
        <v>0</v>
      </c>
      <c r="F38" s="5">
        <v>0</v>
      </c>
      <c r="G38" s="5">
        <v>0</v>
      </c>
      <c r="H38" s="6">
        <f t="shared" si="0"/>
        <v>250</v>
      </c>
      <c r="I38" s="9" t="s">
        <v>13</v>
      </c>
    </row>
    <row r="39" spans="1:9" ht="15" customHeight="1" x14ac:dyDescent="0.3">
      <c r="A39" s="4" t="s">
        <v>47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6">
        <f t="shared" si="0"/>
        <v>0</v>
      </c>
      <c r="I39" s="7" t="s">
        <v>13</v>
      </c>
    </row>
    <row r="40" spans="1:9" ht="15" customHeight="1" x14ac:dyDescent="0.3">
      <c r="A40" s="8" t="s">
        <v>48</v>
      </c>
      <c r="B40" s="5">
        <v>174</v>
      </c>
      <c r="C40" s="5">
        <v>367</v>
      </c>
      <c r="D40" s="5">
        <v>63</v>
      </c>
      <c r="E40" s="5">
        <v>0</v>
      </c>
      <c r="F40" s="5">
        <v>119</v>
      </c>
      <c r="G40" s="5">
        <v>0</v>
      </c>
      <c r="H40" s="6">
        <f t="shared" si="0"/>
        <v>549</v>
      </c>
      <c r="I40" s="9" t="s">
        <v>13</v>
      </c>
    </row>
    <row r="41" spans="1:9" ht="15" customHeight="1" x14ac:dyDescent="0.3">
      <c r="A41" s="10" t="s">
        <v>49</v>
      </c>
      <c r="B41" s="11">
        <f t="shared" ref="B41:G41" si="1">SUM(B5:B40)</f>
        <v>233619</v>
      </c>
      <c r="C41" s="11">
        <f t="shared" si="1"/>
        <v>1624764</v>
      </c>
      <c r="D41" s="11">
        <f t="shared" si="1"/>
        <v>1480183</v>
      </c>
      <c r="E41" s="11">
        <f t="shared" si="1"/>
        <v>650572</v>
      </c>
      <c r="F41" s="11">
        <f t="shared" si="1"/>
        <v>375398</v>
      </c>
      <c r="G41" s="11">
        <f t="shared" si="1"/>
        <v>176059</v>
      </c>
      <c r="H41" s="11">
        <f t="shared" si="0"/>
        <v>4306976</v>
      </c>
      <c r="I41" s="12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9"/>
  <sheetViews>
    <sheetView showGridLines="0" zoomScaleNormal="100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4" customWidth="1"/>
    <col min="2" max="2" width="28" customWidth="1"/>
    <col min="3" max="3" width="32" customWidth="1"/>
    <col min="4" max="4" width="25" customWidth="1"/>
    <col min="5" max="5" width="30" customWidth="1"/>
    <col min="6" max="6" width="25" customWidth="1"/>
    <col min="7" max="7" width="38" customWidth="1"/>
  </cols>
  <sheetData>
    <row r="1" spans="1:7" ht="18" x14ac:dyDescent="0.3">
      <c r="A1" s="44" t="s">
        <v>692</v>
      </c>
      <c r="B1" s="43"/>
      <c r="C1" s="43"/>
      <c r="D1" s="43"/>
      <c r="E1" s="43"/>
      <c r="F1" s="43"/>
      <c r="G1" s="43"/>
    </row>
    <row r="2" spans="1:7" x14ac:dyDescent="0.3">
      <c r="A2" s="42" t="s">
        <v>691</v>
      </c>
      <c r="B2" s="43"/>
      <c r="C2" s="43"/>
      <c r="D2" s="43"/>
      <c r="E2" s="43"/>
      <c r="F2" s="43"/>
      <c r="G2" s="43"/>
    </row>
    <row r="3" spans="1:7" ht="28.8" x14ac:dyDescent="0.3">
      <c r="A3" s="39" t="s">
        <v>51</v>
      </c>
      <c r="B3" s="39" t="s">
        <v>3</v>
      </c>
      <c r="C3" s="39" t="s">
        <v>690</v>
      </c>
      <c r="D3" s="39" t="s">
        <v>689</v>
      </c>
      <c r="E3" s="39" t="s">
        <v>688</v>
      </c>
      <c r="F3" s="39" t="s">
        <v>687</v>
      </c>
      <c r="G3" s="39" t="s">
        <v>65</v>
      </c>
    </row>
    <row r="4" spans="1:7" ht="27.6" x14ac:dyDescent="0.3">
      <c r="A4" s="38" t="s">
        <v>52</v>
      </c>
      <c r="B4" s="35" t="s">
        <v>12</v>
      </c>
      <c r="C4" s="35" t="s">
        <v>676</v>
      </c>
      <c r="D4" s="37">
        <v>150000</v>
      </c>
      <c r="E4" s="37">
        <v>75200</v>
      </c>
      <c r="F4" s="36">
        <f t="shared" ref="F4:F67" si="0">E4/D4</f>
        <v>0.5013333333333333</v>
      </c>
      <c r="G4" s="35" t="s">
        <v>670</v>
      </c>
    </row>
    <row r="5" spans="1:7" ht="27.6" x14ac:dyDescent="0.3">
      <c r="A5" s="34" t="s">
        <v>52</v>
      </c>
      <c r="B5" s="31" t="s">
        <v>12</v>
      </c>
      <c r="C5" s="31" t="s">
        <v>681</v>
      </c>
      <c r="D5" s="33">
        <v>234000</v>
      </c>
      <c r="E5" s="33">
        <v>42100</v>
      </c>
      <c r="F5" s="32">
        <f t="shared" si="0"/>
        <v>0.17991452991452991</v>
      </c>
      <c r="G5" s="31" t="s">
        <v>670</v>
      </c>
    </row>
    <row r="6" spans="1:7" ht="27.6" x14ac:dyDescent="0.3">
      <c r="A6" s="38" t="s">
        <v>52</v>
      </c>
      <c r="B6" s="35" t="s">
        <v>12</v>
      </c>
      <c r="C6" s="35" t="s">
        <v>679</v>
      </c>
      <c r="D6" s="37">
        <v>180000</v>
      </c>
      <c r="E6" s="37">
        <v>112000</v>
      </c>
      <c r="F6" s="36">
        <f t="shared" si="0"/>
        <v>0.62222222222222223</v>
      </c>
      <c r="G6" s="35" t="s">
        <v>670</v>
      </c>
    </row>
    <row r="7" spans="1:7" ht="27.6" x14ac:dyDescent="0.3">
      <c r="A7" s="34" t="s">
        <v>52</v>
      </c>
      <c r="B7" s="31" t="s">
        <v>14</v>
      </c>
      <c r="C7" s="31" t="s">
        <v>686</v>
      </c>
      <c r="D7" s="33">
        <v>8500</v>
      </c>
      <c r="E7" s="33">
        <v>1200</v>
      </c>
      <c r="F7" s="32">
        <f t="shared" si="0"/>
        <v>0.14117647058823529</v>
      </c>
      <c r="G7" s="31" t="s">
        <v>670</v>
      </c>
    </row>
    <row r="8" spans="1:7" ht="27.6" x14ac:dyDescent="0.3">
      <c r="A8" s="38" t="s">
        <v>52</v>
      </c>
      <c r="B8" s="35" t="s">
        <v>14</v>
      </c>
      <c r="C8" s="35" t="s">
        <v>679</v>
      </c>
      <c r="D8" s="37">
        <v>3200</v>
      </c>
      <c r="E8" s="37">
        <v>1800</v>
      </c>
      <c r="F8" s="36">
        <f t="shared" si="0"/>
        <v>0.5625</v>
      </c>
      <c r="G8" s="35" t="s">
        <v>670</v>
      </c>
    </row>
    <row r="9" spans="1:7" ht="27.6" x14ac:dyDescent="0.3">
      <c r="A9" s="34" t="s">
        <v>52</v>
      </c>
      <c r="B9" s="31" t="s">
        <v>15</v>
      </c>
      <c r="C9" s="31" t="s">
        <v>685</v>
      </c>
      <c r="D9" s="33">
        <v>100000</v>
      </c>
      <c r="E9" s="33">
        <v>42000</v>
      </c>
      <c r="F9" s="32">
        <f t="shared" si="0"/>
        <v>0.42</v>
      </c>
      <c r="G9" s="31" t="s">
        <v>670</v>
      </c>
    </row>
    <row r="10" spans="1:7" ht="27.6" x14ac:dyDescent="0.3">
      <c r="A10" s="38" t="s">
        <v>52</v>
      </c>
      <c r="B10" s="35" t="s">
        <v>15</v>
      </c>
      <c r="C10" s="35" t="s">
        <v>679</v>
      </c>
      <c r="D10" s="37">
        <v>75000</v>
      </c>
      <c r="E10" s="37">
        <v>52000</v>
      </c>
      <c r="F10" s="36">
        <f t="shared" si="0"/>
        <v>0.69333333333333336</v>
      </c>
      <c r="G10" s="35" t="s">
        <v>670</v>
      </c>
    </row>
    <row r="11" spans="1:7" ht="27.6" x14ac:dyDescent="0.3">
      <c r="A11" s="34" t="s">
        <v>52</v>
      </c>
      <c r="B11" s="31" t="s">
        <v>16</v>
      </c>
      <c r="C11" s="31" t="s">
        <v>684</v>
      </c>
      <c r="D11" s="33">
        <v>46000</v>
      </c>
      <c r="E11" s="33">
        <v>18500</v>
      </c>
      <c r="F11" s="32">
        <f t="shared" si="0"/>
        <v>0.40217391304347827</v>
      </c>
      <c r="G11" s="31" t="s">
        <v>670</v>
      </c>
    </row>
    <row r="12" spans="1:7" ht="27.6" x14ac:dyDescent="0.3">
      <c r="A12" s="38" t="s">
        <v>52</v>
      </c>
      <c r="B12" s="35" t="s">
        <v>16</v>
      </c>
      <c r="C12" s="35" t="s">
        <v>679</v>
      </c>
      <c r="D12" s="37">
        <v>92000</v>
      </c>
      <c r="E12" s="37">
        <v>68000</v>
      </c>
      <c r="F12" s="36">
        <f t="shared" si="0"/>
        <v>0.73913043478260865</v>
      </c>
      <c r="G12" s="35" t="s">
        <v>670</v>
      </c>
    </row>
    <row r="13" spans="1:7" ht="27.6" x14ac:dyDescent="0.3">
      <c r="A13" s="34" t="s">
        <v>52</v>
      </c>
      <c r="B13" s="31" t="s">
        <v>17</v>
      </c>
      <c r="C13" s="31" t="s">
        <v>681</v>
      </c>
      <c r="D13" s="33">
        <v>84000</v>
      </c>
      <c r="E13" s="33">
        <v>28000</v>
      </c>
      <c r="F13" s="32">
        <f t="shared" si="0"/>
        <v>0.33333333333333331</v>
      </c>
      <c r="G13" s="31" t="s">
        <v>670</v>
      </c>
    </row>
    <row r="14" spans="1:7" ht="27.6" x14ac:dyDescent="0.3">
      <c r="A14" s="38" t="s">
        <v>52</v>
      </c>
      <c r="B14" s="35" t="s">
        <v>17</v>
      </c>
      <c r="C14" s="35" t="s">
        <v>679</v>
      </c>
      <c r="D14" s="37">
        <v>110000</v>
      </c>
      <c r="E14" s="37">
        <v>82000</v>
      </c>
      <c r="F14" s="36">
        <f t="shared" si="0"/>
        <v>0.74545454545454548</v>
      </c>
      <c r="G14" s="35" t="s">
        <v>670</v>
      </c>
    </row>
    <row r="15" spans="1:7" ht="27.6" x14ac:dyDescent="0.3">
      <c r="A15" s="34" t="s">
        <v>52</v>
      </c>
      <c r="B15" s="31" t="s">
        <v>18</v>
      </c>
      <c r="C15" s="31" t="s">
        <v>676</v>
      </c>
      <c r="D15" s="33">
        <v>12000</v>
      </c>
      <c r="E15" s="33">
        <v>3100</v>
      </c>
      <c r="F15" s="32">
        <f t="shared" si="0"/>
        <v>0.25833333333333336</v>
      </c>
      <c r="G15" s="31" t="s">
        <v>670</v>
      </c>
    </row>
    <row r="16" spans="1:7" ht="27.6" x14ac:dyDescent="0.3">
      <c r="A16" s="38" t="s">
        <v>52</v>
      </c>
      <c r="B16" s="35" t="s">
        <v>18</v>
      </c>
      <c r="C16" s="35" t="s">
        <v>681</v>
      </c>
      <c r="D16" s="37">
        <v>3500</v>
      </c>
      <c r="E16" s="37">
        <v>850</v>
      </c>
      <c r="F16" s="36">
        <f t="shared" si="0"/>
        <v>0.24285714285714285</v>
      </c>
      <c r="G16" s="35" t="s">
        <v>670</v>
      </c>
    </row>
    <row r="17" spans="1:7" ht="27.6" x14ac:dyDescent="0.3">
      <c r="A17" s="34" t="s">
        <v>52</v>
      </c>
      <c r="B17" s="31" t="s">
        <v>19</v>
      </c>
      <c r="C17" s="31" t="s">
        <v>676</v>
      </c>
      <c r="D17" s="33">
        <v>376000</v>
      </c>
      <c r="E17" s="33">
        <v>9400</v>
      </c>
      <c r="F17" s="32">
        <f t="shared" si="0"/>
        <v>2.5000000000000001E-2</v>
      </c>
      <c r="G17" s="31" t="s">
        <v>670</v>
      </c>
    </row>
    <row r="18" spans="1:7" ht="27.6" x14ac:dyDescent="0.3">
      <c r="A18" s="38" t="s">
        <v>52</v>
      </c>
      <c r="B18" s="35" t="s">
        <v>19</v>
      </c>
      <c r="C18" s="35" t="s">
        <v>681</v>
      </c>
      <c r="D18" s="37">
        <v>285000</v>
      </c>
      <c r="E18" s="37">
        <v>38000</v>
      </c>
      <c r="F18" s="36">
        <f t="shared" si="0"/>
        <v>0.13333333333333333</v>
      </c>
      <c r="G18" s="35" t="s">
        <v>670</v>
      </c>
    </row>
    <row r="19" spans="1:7" ht="27.6" x14ac:dyDescent="0.3">
      <c r="A19" s="34" t="s">
        <v>52</v>
      </c>
      <c r="B19" s="31" t="s">
        <v>19</v>
      </c>
      <c r="C19" s="31" t="s">
        <v>679</v>
      </c>
      <c r="D19" s="33">
        <v>45000</v>
      </c>
      <c r="E19" s="33">
        <v>26000</v>
      </c>
      <c r="F19" s="32">
        <f t="shared" si="0"/>
        <v>0.57777777777777772</v>
      </c>
      <c r="G19" s="31" t="s">
        <v>670</v>
      </c>
    </row>
    <row r="20" spans="1:7" ht="27.6" x14ac:dyDescent="0.3">
      <c r="A20" s="38" t="s">
        <v>52</v>
      </c>
      <c r="B20" s="35" t="s">
        <v>20</v>
      </c>
      <c r="C20" s="35" t="s">
        <v>53</v>
      </c>
      <c r="D20" s="37">
        <v>20000</v>
      </c>
      <c r="E20" s="37">
        <v>2800</v>
      </c>
      <c r="F20" s="36">
        <f t="shared" si="0"/>
        <v>0.14000000000000001</v>
      </c>
      <c r="G20" s="35" t="s">
        <v>670</v>
      </c>
    </row>
    <row r="21" spans="1:7" ht="27.6" x14ac:dyDescent="0.3">
      <c r="A21" s="34" t="s">
        <v>52</v>
      </c>
      <c r="B21" s="31" t="s">
        <v>20</v>
      </c>
      <c r="C21" s="31" t="s">
        <v>679</v>
      </c>
      <c r="D21" s="33">
        <v>18500</v>
      </c>
      <c r="E21" s="33">
        <v>12800</v>
      </c>
      <c r="F21" s="32">
        <f t="shared" si="0"/>
        <v>0.69189189189189193</v>
      </c>
      <c r="G21" s="31" t="s">
        <v>670</v>
      </c>
    </row>
    <row r="22" spans="1:7" ht="27.6" x14ac:dyDescent="0.3">
      <c r="A22" s="38" t="s">
        <v>52</v>
      </c>
      <c r="B22" s="35" t="s">
        <v>21</v>
      </c>
      <c r="C22" s="35" t="s">
        <v>681</v>
      </c>
      <c r="D22" s="37">
        <v>42000</v>
      </c>
      <c r="E22" s="37">
        <v>14200</v>
      </c>
      <c r="F22" s="36">
        <f t="shared" si="0"/>
        <v>0.33809523809523812</v>
      </c>
      <c r="G22" s="35" t="s">
        <v>670</v>
      </c>
    </row>
    <row r="23" spans="1:7" ht="27.6" x14ac:dyDescent="0.3">
      <c r="A23" s="34" t="s">
        <v>52</v>
      </c>
      <c r="B23" s="31" t="s">
        <v>21</v>
      </c>
      <c r="C23" s="31" t="s">
        <v>682</v>
      </c>
      <c r="D23" s="33">
        <v>2500</v>
      </c>
      <c r="E23" s="33">
        <v>820</v>
      </c>
      <c r="F23" s="32">
        <f t="shared" si="0"/>
        <v>0.32800000000000001</v>
      </c>
      <c r="G23" s="31" t="s">
        <v>670</v>
      </c>
    </row>
    <row r="24" spans="1:7" ht="27.6" x14ac:dyDescent="0.3">
      <c r="A24" s="38" t="s">
        <v>52</v>
      </c>
      <c r="B24" s="35" t="s">
        <v>23</v>
      </c>
      <c r="C24" s="35" t="s">
        <v>681</v>
      </c>
      <c r="D24" s="37">
        <v>115000</v>
      </c>
      <c r="E24" s="37">
        <v>29000</v>
      </c>
      <c r="F24" s="36">
        <f t="shared" si="0"/>
        <v>0.25217391304347825</v>
      </c>
      <c r="G24" s="35" t="s">
        <v>670</v>
      </c>
    </row>
    <row r="25" spans="1:7" ht="27.6" x14ac:dyDescent="0.3">
      <c r="A25" s="34" t="s">
        <v>52</v>
      </c>
      <c r="B25" s="31" t="s">
        <v>23</v>
      </c>
      <c r="C25" s="31" t="s">
        <v>679</v>
      </c>
      <c r="D25" s="33">
        <v>38000</v>
      </c>
      <c r="E25" s="33">
        <v>24500</v>
      </c>
      <c r="F25" s="32">
        <f t="shared" si="0"/>
        <v>0.64473684210526316</v>
      </c>
      <c r="G25" s="31" t="s">
        <v>670</v>
      </c>
    </row>
    <row r="26" spans="1:7" ht="27.6" x14ac:dyDescent="0.3">
      <c r="A26" s="38" t="s">
        <v>52</v>
      </c>
      <c r="B26" s="35" t="s">
        <v>24</v>
      </c>
      <c r="C26" s="35" t="s">
        <v>676</v>
      </c>
      <c r="D26" s="37">
        <v>8000</v>
      </c>
      <c r="E26" s="37">
        <v>1800</v>
      </c>
      <c r="F26" s="36">
        <f t="shared" si="0"/>
        <v>0.22500000000000001</v>
      </c>
      <c r="G26" s="35" t="s">
        <v>670</v>
      </c>
    </row>
    <row r="27" spans="1:7" ht="27.6" x14ac:dyDescent="0.3">
      <c r="A27" s="34" t="s">
        <v>52</v>
      </c>
      <c r="B27" s="31" t="s">
        <v>24</v>
      </c>
      <c r="C27" s="31" t="s">
        <v>681</v>
      </c>
      <c r="D27" s="33">
        <v>220000</v>
      </c>
      <c r="E27" s="33">
        <v>38500</v>
      </c>
      <c r="F27" s="32">
        <f t="shared" si="0"/>
        <v>0.17499999999999999</v>
      </c>
      <c r="G27" s="31" t="s">
        <v>670</v>
      </c>
    </row>
    <row r="28" spans="1:7" ht="27.6" x14ac:dyDescent="0.3">
      <c r="A28" s="38" t="s">
        <v>52</v>
      </c>
      <c r="B28" s="35" t="s">
        <v>24</v>
      </c>
      <c r="C28" s="35" t="s">
        <v>679</v>
      </c>
      <c r="D28" s="37">
        <v>145000</v>
      </c>
      <c r="E28" s="37">
        <v>89000</v>
      </c>
      <c r="F28" s="36">
        <f t="shared" si="0"/>
        <v>0.61379310344827587</v>
      </c>
      <c r="G28" s="35" t="s">
        <v>670</v>
      </c>
    </row>
    <row r="29" spans="1:7" ht="27.6" x14ac:dyDescent="0.3">
      <c r="A29" s="34" t="s">
        <v>52</v>
      </c>
      <c r="B29" s="31" t="s">
        <v>25</v>
      </c>
      <c r="C29" s="31" t="s">
        <v>676</v>
      </c>
      <c r="D29" s="33">
        <v>65000</v>
      </c>
      <c r="E29" s="33">
        <v>12800</v>
      </c>
      <c r="F29" s="32">
        <f t="shared" si="0"/>
        <v>0.19692307692307692</v>
      </c>
      <c r="G29" s="31" t="s">
        <v>670</v>
      </c>
    </row>
    <row r="30" spans="1:7" ht="27.6" x14ac:dyDescent="0.3">
      <c r="A30" s="38" t="s">
        <v>52</v>
      </c>
      <c r="B30" s="35" t="s">
        <v>25</v>
      </c>
      <c r="C30" s="35" t="s">
        <v>681</v>
      </c>
      <c r="D30" s="37">
        <v>33000</v>
      </c>
      <c r="E30" s="37">
        <v>7200</v>
      </c>
      <c r="F30" s="36">
        <f t="shared" si="0"/>
        <v>0.21818181818181817</v>
      </c>
      <c r="G30" s="35" t="s">
        <v>670</v>
      </c>
    </row>
    <row r="31" spans="1:7" ht="27.6" x14ac:dyDescent="0.3">
      <c r="A31" s="34" t="s">
        <v>52</v>
      </c>
      <c r="B31" s="31" t="s">
        <v>25</v>
      </c>
      <c r="C31" s="31" t="s">
        <v>679</v>
      </c>
      <c r="D31" s="33">
        <v>28000</v>
      </c>
      <c r="E31" s="33">
        <v>16500</v>
      </c>
      <c r="F31" s="32">
        <f t="shared" si="0"/>
        <v>0.5892857142857143</v>
      </c>
      <c r="G31" s="31" t="s">
        <v>670</v>
      </c>
    </row>
    <row r="32" spans="1:7" ht="27.6" x14ac:dyDescent="0.3">
      <c r="A32" s="38" t="s">
        <v>52</v>
      </c>
      <c r="B32" s="35" t="s">
        <v>26</v>
      </c>
      <c r="C32" s="35" t="s">
        <v>681</v>
      </c>
      <c r="D32" s="37">
        <v>380000</v>
      </c>
      <c r="E32" s="37">
        <v>95000</v>
      </c>
      <c r="F32" s="36">
        <f t="shared" si="0"/>
        <v>0.25</v>
      </c>
      <c r="G32" s="35" t="s">
        <v>670</v>
      </c>
    </row>
    <row r="33" spans="1:7" ht="27.6" x14ac:dyDescent="0.3">
      <c r="A33" s="34" t="s">
        <v>52</v>
      </c>
      <c r="B33" s="31" t="s">
        <v>26</v>
      </c>
      <c r="C33" s="31" t="s">
        <v>679</v>
      </c>
      <c r="D33" s="33">
        <v>160000</v>
      </c>
      <c r="E33" s="33">
        <v>118000</v>
      </c>
      <c r="F33" s="32">
        <f t="shared" si="0"/>
        <v>0.73750000000000004</v>
      </c>
      <c r="G33" s="31" t="s">
        <v>670</v>
      </c>
    </row>
    <row r="34" spans="1:7" ht="27.6" x14ac:dyDescent="0.3">
      <c r="A34" s="38" t="s">
        <v>52</v>
      </c>
      <c r="B34" s="35" t="s">
        <v>27</v>
      </c>
      <c r="C34" s="35" t="s">
        <v>676</v>
      </c>
      <c r="D34" s="37">
        <v>10000</v>
      </c>
      <c r="E34" s="37">
        <v>1300</v>
      </c>
      <c r="F34" s="36">
        <f t="shared" si="0"/>
        <v>0.13</v>
      </c>
      <c r="G34" s="35" t="s">
        <v>670</v>
      </c>
    </row>
    <row r="35" spans="1:7" ht="27.6" x14ac:dyDescent="0.3">
      <c r="A35" s="34" t="s">
        <v>52</v>
      </c>
      <c r="B35" s="31" t="s">
        <v>27</v>
      </c>
      <c r="C35" s="31" t="s">
        <v>681</v>
      </c>
      <c r="D35" s="33">
        <v>273000</v>
      </c>
      <c r="E35" s="33">
        <v>48000</v>
      </c>
      <c r="F35" s="32">
        <f t="shared" si="0"/>
        <v>0.17582417582417584</v>
      </c>
      <c r="G35" s="31" t="s">
        <v>670</v>
      </c>
    </row>
    <row r="36" spans="1:7" ht="27.6" x14ac:dyDescent="0.3">
      <c r="A36" s="38" t="s">
        <v>52</v>
      </c>
      <c r="B36" s="35" t="s">
        <v>27</v>
      </c>
      <c r="C36" s="35" t="s">
        <v>679</v>
      </c>
      <c r="D36" s="37">
        <v>82000</v>
      </c>
      <c r="E36" s="37">
        <v>51000</v>
      </c>
      <c r="F36" s="36">
        <f t="shared" si="0"/>
        <v>0.62195121951219512</v>
      </c>
      <c r="G36" s="35" t="s">
        <v>670</v>
      </c>
    </row>
    <row r="37" spans="1:7" ht="27.6" x14ac:dyDescent="0.3">
      <c r="A37" s="34" t="s">
        <v>52</v>
      </c>
      <c r="B37" s="31" t="s">
        <v>28</v>
      </c>
      <c r="C37" s="31" t="s">
        <v>677</v>
      </c>
      <c r="D37" s="33">
        <v>40000</v>
      </c>
      <c r="E37" s="33">
        <v>18200</v>
      </c>
      <c r="F37" s="32">
        <f t="shared" si="0"/>
        <v>0.45500000000000002</v>
      </c>
      <c r="G37" s="31" t="s">
        <v>670</v>
      </c>
    </row>
    <row r="38" spans="1:7" ht="27.6" x14ac:dyDescent="0.3">
      <c r="A38" s="38" t="s">
        <v>52</v>
      </c>
      <c r="B38" s="35" t="s">
        <v>29</v>
      </c>
      <c r="C38" s="35" t="s">
        <v>679</v>
      </c>
      <c r="D38" s="37">
        <v>12000</v>
      </c>
      <c r="E38" s="37">
        <v>6200</v>
      </c>
      <c r="F38" s="36">
        <f t="shared" si="0"/>
        <v>0.51666666666666672</v>
      </c>
      <c r="G38" s="35" t="s">
        <v>670</v>
      </c>
    </row>
    <row r="39" spans="1:7" ht="27.6" x14ac:dyDescent="0.3">
      <c r="A39" s="34" t="s">
        <v>52</v>
      </c>
      <c r="B39" s="31" t="s">
        <v>30</v>
      </c>
      <c r="C39" s="31" t="s">
        <v>679</v>
      </c>
      <c r="D39" s="33">
        <v>8500</v>
      </c>
      <c r="E39" s="33">
        <v>3800</v>
      </c>
      <c r="F39" s="32">
        <f t="shared" si="0"/>
        <v>0.44705882352941179</v>
      </c>
      <c r="G39" s="31" t="s">
        <v>670</v>
      </c>
    </row>
    <row r="40" spans="1:7" ht="27.6" x14ac:dyDescent="0.3">
      <c r="A40" s="38" t="s">
        <v>52</v>
      </c>
      <c r="B40" s="35" t="s">
        <v>31</v>
      </c>
      <c r="C40" s="35" t="s">
        <v>679</v>
      </c>
      <c r="D40" s="37">
        <v>9800</v>
      </c>
      <c r="E40" s="37">
        <v>4600</v>
      </c>
      <c r="F40" s="36">
        <f t="shared" si="0"/>
        <v>0.46938775510204084</v>
      </c>
      <c r="G40" s="35" t="s">
        <v>670</v>
      </c>
    </row>
    <row r="41" spans="1:7" ht="27.6" x14ac:dyDescent="0.3">
      <c r="A41" s="34" t="s">
        <v>52</v>
      </c>
      <c r="B41" s="31" t="s">
        <v>32</v>
      </c>
      <c r="C41" s="31" t="s">
        <v>676</v>
      </c>
      <c r="D41" s="33">
        <v>32000</v>
      </c>
      <c r="E41" s="33">
        <v>11200</v>
      </c>
      <c r="F41" s="32">
        <f t="shared" si="0"/>
        <v>0.35</v>
      </c>
      <c r="G41" s="31" t="s">
        <v>670</v>
      </c>
    </row>
    <row r="42" spans="1:7" ht="27.6" x14ac:dyDescent="0.3">
      <c r="A42" s="38" t="s">
        <v>52</v>
      </c>
      <c r="B42" s="35" t="s">
        <v>32</v>
      </c>
      <c r="C42" s="35" t="s">
        <v>681</v>
      </c>
      <c r="D42" s="37">
        <v>260000</v>
      </c>
      <c r="E42" s="37">
        <v>46800</v>
      </c>
      <c r="F42" s="36">
        <f t="shared" si="0"/>
        <v>0.18</v>
      </c>
      <c r="G42" s="35" t="s">
        <v>670</v>
      </c>
    </row>
    <row r="43" spans="1:7" ht="27.6" x14ac:dyDescent="0.3">
      <c r="A43" s="34" t="s">
        <v>52</v>
      </c>
      <c r="B43" s="31" t="s">
        <v>32</v>
      </c>
      <c r="C43" s="31" t="s">
        <v>679</v>
      </c>
      <c r="D43" s="33">
        <v>125000</v>
      </c>
      <c r="E43" s="33">
        <v>88000</v>
      </c>
      <c r="F43" s="32">
        <f t="shared" si="0"/>
        <v>0.70399999999999996</v>
      </c>
      <c r="G43" s="31" t="s">
        <v>670</v>
      </c>
    </row>
    <row r="44" spans="1:7" ht="27.6" x14ac:dyDescent="0.3">
      <c r="A44" s="38" t="s">
        <v>52</v>
      </c>
      <c r="B44" s="35" t="s">
        <v>33</v>
      </c>
      <c r="C44" s="35" t="s">
        <v>53</v>
      </c>
      <c r="D44" s="37">
        <v>15000</v>
      </c>
      <c r="E44" s="37">
        <v>3200</v>
      </c>
      <c r="F44" s="36">
        <f t="shared" si="0"/>
        <v>0.21333333333333335</v>
      </c>
      <c r="G44" s="35" t="s">
        <v>670</v>
      </c>
    </row>
    <row r="45" spans="1:7" ht="27.6" x14ac:dyDescent="0.3">
      <c r="A45" s="34" t="s">
        <v>52</v>
      </c>
      <c r="B45" s="31" t="s">
        <v>33</v>
      </c>
      <c r="C45" s="31" t="s">
        <v>679</v>
      </c>
      <c r="D45" s="33">
        <v>14000</v>
      </c>
      <c r="E45" s="33">
        <v>9800</v>
      </c>
      <c r="F45" s="32">
        <f t="shared" si="0"/>
        <v>0.7</v>
      </c>
      <c r="G45" s="31" t="s">
        <v>670</v>
      </c>
    </row>
    <row r="46" spans="1:7" ht="27.6" x14ac:dyDescent="0.3">
      <c r="A46" s="38" t="s">
        <v>52</v>
      </c>
      <c r="B46" s="35" t="s">
        <v>34</v>
      </c>
      <c r="C46" s="35" t="s">
        <v>683</v>
      </c>
      <c r="D46" s="37">
        <v>180000</v>
      </c>
      <c r="E46" s="37">
        <v>18500</v>
      </c>
      <c r="F46" s="36">
        <f t="shared" si="0"/>
        <v>0.10277777777777777</v>
      </c>
      <c r="G46" s="35" t="s">
        <v>670</v>
      </c>
    </row>
    <row r="47" spans="1:7" ht="27.6" x14ac:dyDescent="0.3">
      <c r="A47" s="34" t="s">
        <v>52</v>
      </c>
      <c r="B47" s="31" t="s">
        <v>34</v>
      </c>
      <c r="C47" s="31" t="s">
        <v>679</v>
      </c>
      <c r="D47" s="33">
        <v>35000</v>
      </c>
      <c r="E47" s="33">
        <v>21000</v>
      </c>
      <c r="F47" s="32">
        <f t="shared" si="0"/>
        <v>0.6</v>
      </c>
      <c r="G47" s="31" t="s">
        <v>670</v>
      </c>
    </row>
    <row r="48" spans="1:7" ht="27.6" x14ac:dyDescent="0.3">
      <c r="A48" s="38" t="s">
        <v>52</v>
      </c>
      <c r="B48" s="35" t="s">
        <v>35</v>
      </c>
      <c r="C48" s="35" t="s">
        <v>682</v>
      </c>
      <c r="D48" s="37">
        <v>1800</v>
      </c>
      <c r="E48" s="37">
        <v>420</v>
      </c>
      <c r="F48" s="36">
        <f t="shared" si="0"/>
        <v>0.23333333333333334</v>
      </c>
      <c r="G48" s="35" t="s">
        <v>670</v>
      </c>
    </row>
    <row r="49" spans="1:7" ht="27.6" x14ac:dyDescent="0.3">
      <c r="A49" s="34" t="s">
        <v>52</v>
      </c>
      <c r="B49" s="31" t="s">
        <v>36</v>
      </c>
      <c r="C49" s="31" t="s">
        <v>676</v>
      </c>
      <c r="D49" s="33">
        <v>56000</v>
      </c>
      <c r="E49" s="33">
        <v>8900</v>
      </c>
      <c r="F49" s="32">
        <f t="shared" si="0"/>
        <v>0.15892857142857142</v>
      </c>
      <c r="G49" s="31" t="s">
        <v>670</v>
      </c>
    </row>
    <row r="50" spans="1:7" ht="27.6" x14ac:dyDescent="0.3">
      <c r="A50" s="38" t="s">
        <v>52</v>
      </c>
      <c r="B50" s="35" t="s">
        <v>36</v>
      </c>
      <c r="C50" s="35" t="s">
        <v>681</v>
      </c>
      <c r="D50" s="37">
        <v>62000</v>
      </c>
      <c r="E50" s="37">
        <v>18500</v>
      </c>
      <c r="F50" s="36">
        <f t="shared" si="0"/>
        <v>0.29838709677419356</v>
      </c>
      <c r="G50" s="35" t="s">
        <v>670</v>
      </c>
    </row>
    <row r="51" spans="1:7" ht="27.6" x14ac:dyDescent="0.3">
      <c r="A51" s="34" t="s">
        <v>52</v>
      </c>
      <c r="B51" s="31" t="s">
        <v>36</v>
      </c>
      <c r="C51" s="31" t="s">
        <v>679</v>
      </c>
      <c r="D51" s="33">
        <v>158000</v>
      </c>
      <c r="E51" s="33">
        <v>102000</v>
      </c>
      <c r="F51" s="32">
        <f t="shared" si="0"/>
        <v>0.64556962025316456</v>
      </c>
      <c r="G51" s="31" t="s">
        <v>670</v>
      </c>
    </row>
    <row r="52" spans="1:7" ht="27.6" x14ac:dyDescent="0.3">
      <c r="A52" s="38" t="s">
        <v>52</v>
      </c>
      <c r="B52" s="35" t="s">
        <v>37</v>
      </c>
      <c r="C52" s="35" t="s">
        <v>681</v>
      </c>
      <c r="D52" s="37">
        <v>195000</v>
      </c>
      <c r="E52" s="37">
        <v>58000</v>
      </c>
      <c r="F52" s="36">
        <f t="shared" si="0"/>
        <v>0.29743589743589743</v>
      </c>
      <c r="G52" s="35" t="s">
        <v>670</v>
      </c>
    </row>
    <row r="53" spans="1:7" ht="27.6" x14ac:dyDescent="0.3">
      <c r="A53" s="34" t="s">
        <v>52</v>
      </c>
      <c r="B53" s="31" t="s">
        <v>37</v>
      </c>
      <c r="C53" s="31" t="s">
        <v>679</v>
      </c>
      <c r="D53" s="33">
        <v>88000</v>
      </c>
      <c r="E53" s="33">
        <v>62000</v>
      </c>
      <c r="F53" s="32">
        <f t="shared" si="0"/>
        <v>0.70454545454545459</v>
      </c>
      <c r="G53" s="31" t="s">
        <v>670</v>
      </c>
    </row>
    <row r="54" spans="1:7" ht="27.6" x14ac:dyDescent="0.3">
      <c r="A54" s="38" t="s">
        <v>52</v>
      </c>
      <c r="B54" s="35" t="s">
        <v>38</v>
      </c>
      <c r="C54" s="35" t="s">
        <v>679</v>
      </c>
      <c r="D54" s="37">
        <v>28000</v>
      </c>
      <c r="E54" s="37">
        <v>18500</v>
      </c>
      <c r="F54" s="36">
        <f t="shared" si="0"/>
        <v>0.6607142857142857</v>
      </c>
      <c r="G54" s="35" t="s">
        <v>670</v>
      </c>
    </row>
    <row r="55" spans="1:7" ht="27.6" x14ac:dyDescent="0.3">
      <c r="A55" s="34" t="s">
        <v>52</v>
      </c>
      <c r="B55" s="31" t="s">
        <v>39</v>
      </c>
      <c r="C55" s="31" t="s">
        <v>681</v>
      </c>
      <c r="D55" s="33">
        <v>165000</v>
      </c>
      <c r="E55" s="33">
        <v>38000</v>
      </c>
      <c r="F55" s="32">
        <f t="shared" si="0"/>
        <v>0.23030303030303031</v>
      </c>
      <c r="G55" s="31" t="s">
        <v>670</v>
      </c>
    </row>
    <row r="56" spans="1:7" ht="27.6" x14ac:dyDescent="0.3">
      <c r="A56" s="38" t="s">
        <v>52</v>
      </c>
      <c r="B56" s="35" t="s">
        <v>39</v>
      </c>
      <c r="C56" s="35" t="s">
        <v>679</v>
      </c>
      <c r="D56" s="37">
        <v>285000</v>
      </c>
      <c r="E56" s="37">
        <v>210000</v>
      </c>
      <c r="F56" s="36">
        <f t="shared" si="0"/>
        <v>0.73684210526315785</v>
      </c>
      <c r="G56" s="35" t="s">
        <v>670</v>
      </c>
    </row>
    <row r="57" spans="1:7" ht="27.6" x14ac:dyDescent="0.3">
      <c r="A57" s="34" t="s">
        <v>52</v>
      </c>
      <c r="B57" s="31" t="s">
        <v>40</v>
      </c>
      <c r="C57" s="31" t="s">
        <v>680</v>
      </c>
      <c r="D57" s="33">
        <v>22000</v>
      </c>
      <c r="E57" s="33">
        <v>5400</v>
      </c>
      <c r="F57" s="32">
        <f t="shared" si="0"/>
        <v>0.24545454545454545</v>
      </c>
      <c r="G57" s="31" t="s">
        <v>670</v>
      </c>
    </row>
    <row r="58" spans="1:7" ht="27.6" x14ac:dyDescent="0.3">
      <c r="A58" s="38" t="s">
        <v>52</v>
      </c>
      <c r="B58" s="35" t="s">
        <v>41</v>
      </c>
      <c r="C58" s="35" t="s">
        <v>676</v>
      </c>
      <c r="D58" s="37">
        <v>210000</v>
      </c>
      <c r="E58" s="37">
        <v>63000</v>
      </c>
      <c r="F58" s="36">
        <f t="shared" si="0"/>
        <v>0.3</v>
      </c>
      <c r="G58" s="35" t="s">
        <v>670</v>
      </c>
    </row>
    <row r="59" spans="1:7" ht="27.6" x14ac:dyDescent="0.3">
      <c r="A59" s="34" t="s">
        <v>52</v>
      </c>
      <c r="B59" s="31" t="s">
        <v>41</v>
      </c>
      <c r="C59" s="31" t="s">
        <v>679</v>
      </c>
      <c r="D59" s="33">
        <v>290000</v>
      </c>
      <c r="E59" s="33">
        <v>232000</v>
      </c>
      <c r="F59" s="32">
        <f t="shared" si="0"/>
        <v>0.8</v>
      </c>
      <c r="G59" s="31" t="s">
        <v>670</v>
      </c>
    </row>
    <row r="60" spans="1:7" ht="27.6" x14ac:dyDescent="0.3">
      <c r="A60" s="38" t="s">
        <v>52</v>
      </c>
      <c r="B60" s="35" t="s">
        <v>42</v>
      </c>
      <c r="C60" s="35" t="s">
        <v>678</v>
      </c>
      <c r="D60" s="37">
        <v>5000</v>
      </c>
      <c r="E60" s="37">
        <v>420</v>
      </c>
      <c r="F60" s="36">
        <f t="shared" si="0"/>
        <v>8.4000000000000005E-2</v>
      </c>
      <c r="G60" s="35" t="s">
        <v>670</v>
      </c>
    </row>
    <row r="61" spans="1:7" ht="27.6" x14ac:dyDescent="0.3">
      <c r="A61" s="34" t="s">
        <v>52</v>
      </c>
      <c r="B61" s="31" t="s">
        <v>43</v>
      </c>
      <c r="C61" s="31" t="s">
        <v>677</v>
      </c>
      <c r="D61" s="33">
        <v>250</v>
      </c>
      <c r="E61" s="33">
        <v>110</v>
      </c>
      <c r="F61" s="32">
        <f t="shared" si="0"/>
        <v>0.44</v>
      </c>
      <c r="G61" s="31" t="s">
        <v>670</v>
      </c>
    </row>
    <row r="62" spans="1:7" ht="27.6" x14ac:dyDescent="0.3">
      <c r="A62" s="38" t="s">
        <v>52</v>
      </c>
      <c r="B62" s="35" t="s">
        <v>44</v>
      </c>
      <c r="C62" s="35" t="s">
        <v>676</v>
      </c>
      <c r="D62" s="37">
        <v>1800</v>
      </c>
      <c r="E62" s="37">
        <v>280</v>
      </c>
      <c r="F62" s="36">
        <f t="shared" si="0"/>
        <v>0.15555555555555556</v>
      </c>
      <c r="G62" s="35" t="s">
        <v>670</v>
      </c>
    </row>
    <row r="63" spans="1:7" ht="27.6" x14ac:dyDescent="0.3">
      <c r="A63" s="34" t="s">
        <v>52</v>
      </c>
      <c r="B63" s="31" t="s">
        <v>45</v>
      </c>
      <c r="C63" s="31" t="s">
        <v>675</v>
      </c>
      <c r="D63" s="33">
        <v>800</v>
      </c>
      <c r="E63" s="33">
        <v>320</v>
      </c>
      <c r="F63" s="32">
        <f t="shared" si="0"/>
        <v>0.4</v>
      </c>
      <c r="G63" s="31" t="s">
        <v>670</v>
      </c>
    </row>
    <row r="64" spans="1:7" ht="27.6" x14ac:dyDescent="0.3">
      <c r="A64" s="38" t="s">
        <v>52</v>
      </c>
      <c r="B64" s="35" t="s">
        <v>22</v>
      </c>
      <c r="C64" s="35" t="s">
        <v>674</v>
      </c>
      <c r="D64" s="37">
        <v>35000</v>
      </c>
      <c r="E64" s="37">
        <v>8500</v>
      </c>
      <c r="F64" s="36">
        <f t="shared" si="0"/>
        <v>0.24285714285714285</v>
      </c>
      <c r="G64" s="35" t="s">
        <v>670</v>
      </c>
    </row>
    <row r="65" spans="1:7" ht="27.6" x14ac:dyDescent="0.3">
      <c r="A65" s="34" t="s">
        <v>52</v>
      </c>
      <c r="B65" s="31" t="s">
        <v>46</v>
      </c>
      <c r="C65" s="31" t="s">
        <v>673</v>
      </c>
      <c r="D65" s="33">
        <v>1200</v>
      </c>
      <c r="E65" s="33">
        <v>210</v>
      </c>
      <c r="F65" s="32">
        <f t="shared" si="0"/>
        <v>0.17499999999999999</v>
      </c>
      <c r="G65" s="31" t="s">
        <v>670</v>
      </c>
    </row>
    <row r="66" spans="1:7" ht="27.6" x14ac:dyDescent="0.3">
      <c r="A66" s="38" t="s">
        <v>52</v>
      </c>
      <c r="B66" s="35" t="s">
        <v>47</v>
      </c>
      <c r="C66" s="35" t="s">
        <v>672</v>
      </c>
      <c r="D66" s="37">
        <v>3000</v>
      </c>
      <c r="E66" s="37">
        <v>350</v>
      </c>
      <c r="F66" s="36">
        <f t="shared" si="0"/>
        <v>0.11666666666666667</v>
      </c>
      <c r="G66" s="35" t="s">
        <v>670</v>
      </c>
    </row>
    <row r="67" spans="1:7" ht="27.6" x14ac:dyDescent="0.3">
      <c r="A67" s="34" t="s">
        <v>52</v>
      </c>
      <c r="B67" s="31" t="s">
        <v>48</v>
      </c>
      <c r="C67" s="31" t="s">
        <v>671</v>
      </c>
      <c r="D67" s="33">
        <v>2200</v>
      </c>
      <c r="E67" s="33">
        <v>620</v>
      </c>
      <c r="F67" s="32">
        <f t="shared" si="0"/>
        <v>0.2818181818181818</v>
      </c>
      <c r="G67" s="31" t="s">
        <v>670</v>
      </c>
    </row>
    <row r="68" spans="1:7" ht="27.6" x14ac:dyDescent="0.3">
      <c r="A68" s="38" t="s">
        <v>54</v>
      </c>
      <c r="B68" s="35" t="s">
        <v>12</v>
      </c>
      <c r="C68" s="35" t="s">
        <v>676</v>
      </c>
      <c r="D68" s="37">
        <v>150000</v>
      </c>
      <c r="E68" s="37">
        <v>78500</v>
      </c>
      <c r="F68" s="36">
        <f t="shared" ref="F68:F131" si="1">E68/D68</f>
        <v>0.52333333333333332</v>
      </c>
      <c r="G68" s="35" t="s">
        <v>670</v>
      </c>
    </row>
    <row r="69" spans="1:7" ht="27.6" x14ac:dyDescent="0.3">
      <c r="A69" s="34" t="s">
        <v>54</v>
      </c>
      <c r="B69" s="31" t="s">
        <v>12</v>
      </c>
      <c r="C69" s="31" t="s">
        <v>681</v>
      </c>
      <c r="D69" s="33">
        <v>234000</v>
      </c>
      <c r="E69" s="33">
        <v>45800</v>
      </c>
      <c r="F69" s="32">
        <f t="shared" si="1"/>
        <v>0.19572649572649573</v>
      </c>
      <c r="G69" s="31" t="s">
        <v>670</v>
      </c>
    </row>
    <row r="70" spans="1:7" ht="27.6" x14ac:dyDescent="0.3">
      <c r="A70" s="38" t="s">
        <v>54</v>
      </c>
      <c r="B70" s="35" t="s">
        <v>12</v>
      </c>
      <c r="C70" s="35" t="s">
        <v>679</v>
      </c>
      <c r="D70" s="37">
        <v>180000</v>
      </c>
      <c r="E70" s="37">
        <v>118000</v>
      </c>
      <c r="F70" s="36">
        <f t="shared" si="1"/>
        <v>0.65555555555555556</v>
      </c>
      <c r="G70" s="35" t="s">
        <v>670</v>
      </c>
    </row>
    <row r="71" spans="1:7" ht="27.6" x14ac:dyDescent="0.3">
      <c r="A71" s="34" t="s">
        <v>54</v>
      </c>
      <c r="B71" s="31" t="s">
        <v>14</v>
      </c>
      <c r="C71" s="31" t="s">
        <v>686</v>
      </c>
      <c r="D71" s="33">
        <v>8500</v>
      </c>
      <c r="E71" s="33">
        <v>1350</v>
      </c>
      <c r="F71" s="32">
        <f t="shared" si="1"/>
        <v>0.1588235294117647</v>
      </c>
      <c r="G71" s="31" t="s">
        <v>670</v>
      </c>
    </row>
    <row r="72" spans="1:7" ht="27.6" x14ac:dyDescent="0.3">
      <c r="A72" s="38" t="s">
        <v>54</v>
      </c>
      <c r="B72" s="35" t="s">
        <v>14</v>
      </c>
      <c r="C72" s="35" t="s">
        <v>679</v>
      </c>
      <c r="D72" s="37">
        <v>3200</v>
      </c>
      <c r="E72" s="37">
        <v>1950</v>
      </c>
      <c r="F72" s="36">
        <f t="shared" si="1"/>
        <v>0.609375</v>
      </c>
      <c r="G72" s="35" t="s">
        <v>670</v>
      </c>
    </row>
    <row r="73" spans="1:7" ht="27.6" x14ac:dyDescent="0.3">
      <c r="A73" s="34" t="s">
        <v>54</v>
      </c>
      <c r="B73" s="31" t="s">
        <v>15</v>
      </c>
      <c r="C73" s="31" t="s">
        <v>685</v>
      </c>
      <c r="D73" s="33">
        <v>100000</v>
      </c>
      <c r="E73" s="33">
        <v>43500</v>
      </c>
      <c r="F73" s="32">
        <f t="shared" si="1"/>
        <v>0.435</v>
      </c>
      <c r="G73" s="31" t="s">
        <v>670</v>
      </c>
    </row>
    <row r="74" spans="1:7" ht="27.6" x14ac:dyDescent="0.3">
      <c r="A74" s="38" t="s">
        <v>54</v>
      </c>
      <c r="B74" s="35" t="s">
        <v>15</v>
      </c>
      <c r="C74" s="35" t="s">
        <v>679</v>
      </c>
      <c r="D74" s="37">
        <v>75000</v>
      </c>
      <c r="E74" s="37">
        <v>54500</v>
      </c>
      <c r="F74" s="36">
        <f t="shared" si="1"/>
        <v>0.72666666666666668</v>
      </c>
      <c r="G74" s="35" t="s">
        <v>670</v>
      </c>
    </row>
    <row r="75" spans="1:7" ht="27.6" x14ac:dyDescent="0.3">
      <c r="A75" s="34" t="s">
        <v>54</v>
      </c>
      <c r="B75" s="31" t="s">
        <v>16</v>
      </c>
      <c r="C75" s="31" t="s">
        <v>684</v>
      </c>
      <c r="D75" s="33">
        <v>46000</v>
      </c>
      <c r="E75" s="33">
        <v>19800</v>
      </c>
      <c r="F75" s="32">
        <f t="shared" si="1"/>
        <v>0.43043478260869567</v>
      </c>
      <c r="G75" s="31" t="s">
        <v>670</v>
      </c>
    </row>
    <row r="76" spans="1:7" ht="27.6" x14ac:dyDescent="0.3">
      <c r="A76" s="38" t="s">
        <v>54</v>
      </c>
      <c r="B76" s="35" t="s">
        <v>16</v>
      </c>
      <c r="C76" s="35" t="s">
        <v>679</v>
      </c>
      <c r="D76" s="37">
        <v>92000</v>
      </c>
      <c r="E76" s="37">
        <v>71200</v>
      </c>
      <c r="F76" s="36">
        <f t="shared" si="1"/>
        <v>0.77391304347826084</v>
      </c>
      <c r="G76" s="35" t="s">
        <v>670</v>
      </c>
    </row>
    <row r="77" spans="1:7" ht="27.6" x14ac:dyDescent="0.3">
      <c r="A77" s="34" t="s">
        <v>54</v>
      </c>
      <c r="B77" s="31" t="s">
        <v>17</v>
      </c>
      <c r="C77" s="31" t="s">
        <v>681</v>
      </c>
      <c r="D77" s="33">
        <v>84000</v>
      </c>
      <c r="E77" s="33">
        <v>30500</v>
      </c>
      <c r="F77" s="32">
        <f t="shared" si="1"/>
        <v>0.36309523809523808</v>
      </c>
      <c r="G77" s="31" t="s">
        <v>670</v>
      </c>
    </row>
    <row r="78" spans="1:7" ht="27.6" x14ac:dyDescent="0.3">
      <c r="A78" s="38" t="s">
        <v>54</v>
      </c>
      <c r="B78" s="35" t="s">
        <v>17</v>
      </c>
      <c r="C78" s="35" t="s">
        <v>679</v>
      </c>
      <c r="D78" s="37">
        <v>110000</v>
      </c>
      <c r="E78" s="37">
        <v>85400</v>
      </c>
      <c r="F78" s="36">
        <f t="shared" si="1"/>
        <v>0.77636363636363637</v>
      </c>
      <c r="G78" s="35" t="s">
        <v>670</v>
      </c>
    </row>
    <row r="79" spans="1:7" ht="27.6" x14ac:dyDescent="0.3">
      <c r="A79" s="34" t="s">
        <v>54</v>
      </c>
      <c r="B79" s="31" t="s">
        <v>18</v>
      </c>
      <c r="C79" s="31" t="s">
        <v>676</v>
      </c>
      <c r="D79" s="33">
        <v>12000</v>
      </c>
      <c r="E79" s="33">
        <v>3250</v>
      </c>
      <c r="F79" s="32">
        <f t="shared" si="1"/>
        <v>0.27083333333333331</v>
      </c>
      <c r="G79" s="31" t="s">
        <v>670</v>
      </c>
    </row>
    <row r="80" spans="1:7" ht="27.6" x14ac:dyDescent="0.3">
      <c r="A80" s="38" t="s">
        <v>54</v>
      </c>
      <c r="B80" s="35" t="s">
        <v>18</v>
      </c>
      <c r="C80" s="35" t="s">
        <v>681</v>
      </c>
      <c r="D80" s="37">
        <v>3500</v>
      </c>
      <c r="E80" s="37">
        <v>920</v>
      </c>
      <c r="F80" s="36">
        <f t="shared" si="1"/>
        <v>0.26285714285714284</v>
      </c>
      <c r="G80" s="35" t="s">
        <v>670</v>
      </c>
    </row>
    <row r="81" spans="1:7" ht="27.6" x14ac:dyDescent="0.3">
      <c r="A81" s="34" t="s">
        <v>54</v>
      </c>
      <c r="B81" s="31" t="s">
        <v>19</v>
      </c>
      <c r="C81" s="31" t="s">
        <v>676</v>
      </c>
      <c r="D81" s="33">
        <v>376000</v>
      </c>
      <c r="E81" s="33">
        <v>10800</v>
      </c>
      <c r="F81" s="32">
        <f t="shared" si="1"/>
        <v>2.8723404255319149E-2</v>
      </c>
      <c r="G81" s="31" t="s">
        <v>670</v>
      </c>
    </row>
    <row r="82" spans="1:7" ht="27.6" x14ac:dyDescent="0.3">
      <c r="A82" s="38" t="s">
        <v>54</v>
      </c>
      <c r="B82" s="35" t="s">
        <v>19</v>
      </c>
      <c r="C82" s="35" t="s">
        <v>681</v>
      </c>
      <c r="D82" s="37">
        <v>285000</v>
      </c>
      <c r="E82" s="37">
        <v>40200</v>
      </c>
      <c r="F82" s="36">
        <f t="shared" si="1"/>
        <v>0.14105263157894737</v>
      </c>
      <c r="G82" s="35" t="s">
        <v>670</v>
      </c>
    </row>
    <row r="83" spans="1:7" ht="27.6" x14ac:dyDescent="0.3">
      <c r="A83" s="34" t="s">
        <v>54</v>
      </c>
      <c r="B83" s="31" t="s">
        <v>19</v>
      </c>
      <c r="C83" s="31" t="s">
        <v>679</v>
      </c>
      <c r="D83" s="33">
        <v>45000</v>
      </c>
      <c r="E83" s="33">
        <v>27500</v>
      </c>
      <c r="F83" s="32">
        <f t="shared" si="1"/>
        <v>0.61111111111111116</v>
      </c>
      <c r="G83" s="31" t="s">
        <v>670</v>
      </c>
    </row>
    <row r="84" spans="1:7" ht="27.6" x14ac:dyDescent="0.3">
      <c r="A84" s="38" t="s">
        <v>54</v>
      </c>
      <c r="B84" s="35" t="s">
        <v>20</v>
      </c>
      <c r="C84" s="35" t="s">
        <v>53</v>
      </c>
      <c r="D84" s="37">
        <v>20000</v>
      </c>
      <c r="E84" s="37">
        <v>3400</v>
      </c>
      <c r="F84" s="36">
        <f t="shared" si="1"/>
        <v>0.17</v>
      </c>
      <c r="G84" s="35" t="s">
        <v>670</v>
      </c>
    </row>
    <row r="85" spans="1:7" ht="27.6" x14ac:dyDescent="0.3">
      <c r="A85" s="34" t="s">
        <v>54</v>
      </c>
      <c r="B85" s="31" t="s">
        <v>20</v>
      </c>
      <c r="C85" s="31" t="s">
        <v>679</v>
      </c>
      <c r="D85" s="33">
        <v>18500</v>
      </c>
      <c r="E85" s="33">
        <v>13400</v>
      </c>
      <c r="F85" s="32">
        <f t="shared" si="1"/>
        <v>0.72432432432432436</v>
      </c>
      <c r="G85" s="31" t="s">
        <v>670</v>
      </c>
    </row>
    <row r="86" spans="1:7" ht="27.6" x14ac:dyDescent="0.3">
      <c r="A86" s="38" t="s">
        <v>54</v>
      </c>
      <c r="B86" s="35" t="s">
        <v>21</v>
      </c>
      <c r="C86" s="35" t="s">
        <v>681</v>
      </c>
      <c r="D86" s="37">
        <v>42000</v>
      </c>
      <c r="E86" s="37">
        <v>14800</v>
      </c>
      <c r="F86" s="36">
        <f t="shared" si="1"/>
        <v>0.35238095238095241</v>
      </c>
      <c r="G86" s="35" t="s">
        <v>670</v>
      </c>
    </row>
    <row r="87" spans="1:7" ht="27.6" x14ac:dyDescent="0.3">
      <c r="A87" s="34" t="s">
        <v>54</v>
      </c>
      <c r="B87" s="31" t="s">
        <v>21</v>
      </c>
      <c r="C87" s="31" t="s">
        <v>682</v>
      </c>
      <c r="D87" s="33">
        <v>2500</v>
      </c>
      <c r="E87" s="33">
        <v>890</v>
      </c>
      <c r="F87" s="32">
        <f t="shared" si="1"/>
        <v>0.35599999999999998</v>
      </c>
      <c r="G87" s="31" t="s">
        <v>670</v>
      </c>
    </row>
    <row r="88" spans="1:7" ht="27.6" x14ac:dyDescent="0.3">
      <c r="A88" s="38" t="s">
        <v>54</v>
      </c>
      <c r="B88" s="35" t="s">
        <v>23</v>
      </c>
      <c r="C88" s="35" t="s">
        <v>681</v>
      </c>
      <c r="D88" s="37">
        <v>115000</v>
      </c>
      <c r="E88" s="37">
        <v>31200</v>
      </c>
      <c r="F88" s="36">
        <f t="shared" si="1"/>
        <v>0.27130434782608698</v>
      </c>
      <c r="G88" s="35" t="s">
        <v>670</v>
      </c>
    </row>
    <row r="89" spans="1:7" ht="27.6" x14ac:dyDescent="0.3">
      <c r="A89" s="34" t="s">
        <v>54</v>
      </c>
      <c r="B89" s="31" t="s">
        <v>23</v>
      </c>
      <c r="C89" s="31" t="s">
        <v>679</v>
      </c>
      <c r="D89" s="33">
        <v>38000</v>
      </c>
      <c r="E89" s="33">
        <v>25800</v>
      </c>
      <c r="F89" s="32">
        <f t="shared" si="1"/>
        <v>0.67894736842105263</v>
      </c>
      <c r="G89" s="31" t="s">
        <v>670</v>
      </c>
    </row>
    <row r="90" spans="1:7" ht="27.6" x14ac:dyDescent="0.3">
      <c r="A90" s="38" t="s">
        <v>54</v>
      </c>
      <c r="B90" s="35" t="s">
        <v>24</v>
      </c>
      <c r="C90" s="35" t="s">
        <v>676</v>
      </c>
      <c r="D90" s="37">
        <v>8000</v>
      </c>
      <c r="E90" s="37">
        <v>1950</v>
      </c>
      <c r="F90" s="36">
        <f t="shared" si="1"/>
        <v>0.24374999999999999</v>
      </c>
      <c r="G90" s="35" t="s">
        <v>670</v>
      </c>
    </row>
    <row r="91" spans="1:7" ht="27.6" x14ac:dyDescent="0.3">
      <c r="A91" s="34" t="s">
        <v>54</v>
      </c>
      <c r="B91" s="31" t="s">
        <v>24</v>
      </c>
      <c r="C91" s="31" t="s">
        <v>681</v>
      </c>
      <c r="D91" s="33">
        <v>220000</v>
      </c>
      <c r="E91" s="33">
        <v>41000</v>
      </c>
      <c r="F91" s="32">
        <f t="shared" si="1"/>
        <v>0.18636363636363637</v>
      </c>
      <c r="G91" s="31" t="s">
        <v>670</v>
      </c>
    </row>
    <row r="92" spans="1:7" ht="27.6" x14ac:dyDescent="0.3">
      <c r="A92" s="38" t="s">
        <v>54</v>
      </c>
      <c r="B92" s="35" t="s">
        <v>24</v>
      </c>
      <c r="C92" s="35" t="s">
        <v>679</v>
      </c>
      <c r="D92" s="37">
        <v>145000</v>
      </c>
      <c r="E92" s="37">
        <v>92500</v>
      </c>
      <c r="F92" s="36">
        <f t="shared" si="1"/>
        <v>0.63793103448275867</v>
      </c>
      <c r="G92" s="35" t="s">
        <v>670</v>
      </c>
    </row>
    <row r="93" spans="1:7" ht="27.6" x14ac:dyDescent="0.3">
      <c r="A93" s="34" t="s">
        <v>54</v>
      </c>
      <c r="B93" s="31" t="s">
        <v>25</v>
      </c>
      <c r="C93" s="31" t="s">
        <v>676</v>
      </c>
      <c r="D93" s="33">
        <v>65000</v>
      </c>
      <c r="E93" s="33">
        <v>13200</v>
      </c>
      <c r="F93" s="32">
        <f t="shared" si="1"/>
        <v>0.20307692307692307</v>
      </c>
      <c r="G93" s="31" t="s">
        <v>670</v>
      </c>
    </row>
    <row r="94" spans="1:7" ht="27.6" x14ac:dyDescent="0.3">
      <c r="A94" s="38" t="s">
        <v>54</v>
      </c>
      <c r="B94" s="35" t="s">
        <v>25</v>
      </c>
      <c r="C94" s="35" t="s">
        <v>681</v>
      </c>
      <c r="D94" s="37">
        <v>33000</v>
      </c>
      <c r="E94" s="37">
        <v>7600</v>
      </c>
      <c r="F94" s="36">
        <f t="shared" si="1"/>
        <v>0.23030303030303031</v>
      </c>
      <c r="G94" s="35" t="s">
        <v>670</v>
      </c>
    </row>
    <row r="95" spans="1:7" ht="27.6" x14ac:dyDescent="0.3">
      <c r="A95" s="34" t="s">
        <v>54</v>
      </c>
      <c r="B95" s="31" t="s">
        <v>25</v>
      </c>
      <c r="C95" s="31" t="s">
        <v>679</v>
      </c>
      <c r="D95" s="33">
        <v>28000</v>
      </c>
      <c r="E95" s="33">
        <v>17200</v>
      </c>
      <c r="F95" s="32">
        <f t="shared" si="1"/>
        <v>0.61428571428571432</v>
      </c>
      <c r="G95" s="31" t="s">
        <v>670</v>
      </c>
    </row>
    <row r="96" spans="1:7" ht="27.6" x14ac:dyDescent="0.3">
      <c r="A96" s="38" t="s">
        <v>54</v>
      </c>
      <c r="B96" s="35" t="s">
        <v>26</v>
      </c>
      <c r="C96" s="35" t="s">
        <v>681</v>
      </c>
      <c r="D96" s="37">
        <v>380000</v>
      </c>
      <c r="E96" s="37">
        <v>102000</v>
      </c>
      <c r="F96" s="36">
        <f t="shared" si="1"/>
        <v>0.26842105263157895</v>
      </c>
      <c r="G96" s="35" t="s">
        <v>670</v>
      </c>
    </row>
    <row r="97" spans="1:7" ht="27.6" x14ac:dyDescent="0.3">
      <c r="A97" s="34" t="s">
        <v>54</v>
      </c>
      <c r="B97" s="31" t="s">
        <v>26</v>
      </c>
      <c r="C97" s="31" t="s">
        <v>679</v>
      </c>
      <c r="D97" s="33">
        <v>160000</v>
      </c>
      <c r="E97" s="33">
        <v>123000</v>
      </c>
      <c r="F97" s="32">
        <f t="shared" si="1"/>
        <v>0.76875000000000004</v>
      </c>
      <c r="G97" s="31" t="s">
        <v>670</v>
      </c>
    </row>
    <row r="98" spans="1:7" ht="27.6" x14ac:dyDescent="0.3">
      <c r="A98" s="38" t="s">
        <v>54</v>
      </c>
      <c r="B98" s="35" t="s">
        <v>27</v>
      </c>
      <c r="C98" s="35" t="s">
        <v>676</v>
      </c>
      <c r="D98" s="37">
        <v>10000</v>
      </c>
      <c r="E98" s="37">
        <v>1450</v>
      </c>
      <c r="F98" s="36">
        <f t="shared" si="1"/>
        <v>0.14499999999999999</v>
      </c>
      <c r="G98" s="35" t="s">
        <v>670</v>
      </c>
    </row>
    <row r="99" spans="1:7" ht="27.6" x14ac:dyDescent="0.3">
      <c r="A99" s="34" t="s">
        <v>54</v>
      </c>
      <c r="B99" s="31" t="s">
        <v>27</v>
      </c>
      <c r="C99" s="31" t="s">
        <v>681</v>
      </c>
      <c r="D99" s="33">
        <v>273000</v>
      </c>
      <c r="E99" s="33">
        <v>51000</v>
      </c>
      <c r="F99" s="32">
        <f t="shared" si="1"/>
        <v>0.18681318681318682</v>
      </c>
      <c r="G99" s="31" t="s">
        <v>670</v>
      </c>
    </row>
    <row r="100" spans="1:7" ht="27.6" x14ac:dyDescent="0.3">
      <c r="A100" s="38" t="s">
        <v>54</v>
      </c>
      <c r="B100" s="35" t="s">
        <v>27</v>
      </c>
      <c r="C100" s="35" t="s">
        <v>679</v>
      </c>
      <c r="D100" s="37">
        <v>82000</v>
      </c>
      <c r="E100" s="37">
        <v>53500</v>
      </c>
      <c r="F100" s="36">
        <f t="shared" si="1"/>
        <v>0.65243902439024393</v>
      </c>
      <c r="G100" s="35" t="s">
        <v>670</v>
      </c>
    </row>
    <row r="101" spans="1:7" ht="27.6" x14ac:dyDescent="0.3">
      <c r="A101" s="34" t="s">
        <v>54</v>
      </c>
      <c r="B101" s="31" t="s">
        <v>28</v>
      </c>
      <c r="C101" s="31" t="s">
        <v>677</v>
      </c>
      <c r="D101" s="33">
        <v>40000</v>
      </c>
      <c r="E101" s="33">
        <v>19000</v>
      </c>
      <c r="F101" s="32">
        <f t="shared" si="1"/>
        <v>0.47499999999999998</v>
      </c>
      <c r="G101" s="31" t="s">
        <v>670</v>
      </c>
    </row>
    <row r="102" spans="1:7" ht="27.6" x14ac:dyDescent="0.3">
      <c r="A102" s="38" t="s">
        <v>54</v>
      </c>
      <c r="B102" s="35" t="s">
        <v>29</v>
      </c>
      <c r="C102" s="35" t="s">
        <v>679</v>
      </c>
      <c r="D102" s="37">
        <v>12000</v>
      </c>
      <c r="E102" s="37">
        <v>6550</v>
      </c>
      <c r="F102" s="36">
        <f t="shared" si="1"/>
        <v>0.54583333333333328</v>
      </c>
      <c r="G102" s="35" t="s">
        <v>670</v>
      </c>
    </row>
    <row r="103" spans="1:7" ht="27.6" x14ac:dyDescent="0.3">
      <c r="A103" s="34" t="s">
        <v>54</v>
      </c>
      <c r="B103" s="31" t="s">
        <v>30</v>
      </c>
      <c r="C103" s="31" t="s">
        <v>679</v>
      </c>
      <c r="D103" s="33">
        <v>8500</v>
      </c>
      <c r="E103" s="33">
        <v>4050</v>
      </c>
      <c r="F103" s="32">
        <f t="shared" si="1"/>
        <v>0.47647058823529409</v>
      </c>
      <c r="G103" s="31" t="s">
        <v>670</v>
      </c>
    </row>
    <row r="104" spans="1:7" ht="27.6" x14ac:dyDescent="0.3">
      <c r="A104" s="38" t="s">
        <v>54</v>
      </c>
      <c r="B104" s="35" t="s">
        <v>31</v>
      </c>
      <c r="C104" s="35" t="s">
        <v>679</v>
      </c>
      <c r="D104" s="37">
        <v>9800</v>
      </c>
      <c r="E104" s="37">
        <v>4850</v>
      </c>
      <c r="F104" s="36">
        <f t="shared" si="1"/>
        <v>0.49489795918367346</v>
      </c>
      <c r="G104" s="35" t="s">
        <v>670</v>
      </c>
    </row>
    <row r="105" spans="1:7" ht="27.6" x14ac:dyDescent="0.3">
      <c r="A105" s="34" t="s">
        <v>54</v>
      </c>
      <c r="B105" s="31" t="s">
        <v>32</v>
      </c>
      <c r="C105" s="31" t="s">
        <v>676</v>
      </c>
      <c r="D105" s="33">
        <v>32000</v>
      </c>
      <c r="E105" s="33">
        <v>12000</v>
      </c>
      <c r="F105" s="32">
        <f t="shared" si="1"/>
        <v>0.375</v>
      </c>
      <c r="G105" s="31" t="s">
        <v>670</v>
      </c>
    </row>
    <row r="106" spans="1:7" ht="27.6" x14ac:dyDescent="0.3">
      <c r="A106" s="38" t="s">
        <v>54</v>
      </c>
      <c r="B106" s="35" t="s">
        <v>32</v>
      </c>
      <c r="C106" s="35" t="s">
        <v>681</v>
      </c>
      <c r="D106" s="37">
        <v>260000</v>
      </c>
      <c r="E106" s="37">
        <v>52000</v>
      </c>
      <c r="F106" s="36">
        <f t="shared" si="1"/>
        <v>0.2</v>
      </c>
      <c r="G106" s="35" t="s">
        <v>670</v>
      </c>
    </row>
    <row r="107" spans="1:7" ht="27.6" x14ac:dyDescent="0.3">
      <c r="A107" s="34" t="s">
        <v>54</v>
      </c>
      <c r="B107" s="31" t="s">
        <v>32</v>
      </c>
      <c r="C107" s="31" t="s">
        <v>679</v>
      </c>
      <c r="D107" s="33">
        <v>125000</v>
      </c>
      <c r="E107" s="33">
        <v>92000</v>
      </c>
      <c r="F107" s="32">
        <f t="shared" si="1"/>
        <v>0.73599999999999999</v>
      </c>
      <c r="G107" s="31" t="s">
        <v>670</v>
      </c>
    </row>
    <row r="108" spans="1:7" ht="27.6" x14ac:dyDescent="0.3">
      <c r="A108" s="38" t="s">
        <v>54</v>
      </c>
      <c r="B108" s="35" t="s">
        <v>33</v>
      </c>
      <c r="C108" s="35" t="s">
        <v>53</v>
      </c>
      <c r="D108" s="37">
        <v>15000</v>
      </c>
      <c r="E108" s="37">
        <v>4100</v>
      </c>
      <c r="F108" s="36">
        <f t="shared" si="1"/>
        <v>0.27333333333333332</v>
      </c>
      <c r="G108" s="35" t="s">
        <v>670</v>
      </c>
    </row>
    <row r="109" spans="1:7" ht="27.6" x14ac:dyDescent="0.3">
      <c r="A109" s="34" t="s">
        <v>54</v>
      </c>
      <c r="B109" s="31" t="s">
        <v>33</v>
      </c>
      <c r="C109" s="31" t="s">
        <v>679</v>
      </c>
      <c r="D109" s="33">
        <v>14000</v>
      </c>
      <c r="E109" s="33">
        <v>10300</v>
      </c>
      <c r="F109" s="32">
        <f t="shared" si="1"/>
        <v>0.73571428571428577</v>
      </c>
      <c r="G109" s="31" t="s">
        <v>670</v>
      </c>
    </row>
    <row r="110" spans="1:7" ht="27.6" x14ac:dyDescent="0.3">
      <c r="A110" s="38" t="s">
        <v>54</v>
      </c>
      <c r="B110" s="35" t="s">
        <v>34</v>
      </c>
      <c r="C110" s="35" t="s">
        <v>683</v>
      </c>
      <c r="D110" s="37">
        <v>180000</v>
      </c>
      <c r="E110" s="37">
        <v>20200</v>
      </c>
      <c r="F110" s="36">
        <f t="shared" si="1"/>
        <v>0.11222222222222222</v>
      </c>
      <c r="G110" s="35" t="s">
        <v>670</v>
      </c>
    </row>
    <row r="111" spans="1:7" ht="27.6" x14ac:dyDescent="0.3">
      <c r="A111" s="34" t="s">
        <v>54</v>
      </c>
      <c r="B111" s="31" t="s">
        <v>34</v>
      </c>
      <c r="C111" s="31" t="s">
        <v>679</v>
      </c>
      <c r="D111" s="33">
        <v>35000</v>
      </c>
      <c r="E111" s="33">
        <v>22200</v>
      </c>
      <c r="F111" s="32">
        <f t="shared" si="1"/>
        <v>0.63428571428571423</v>
      </c>
      <c r="G111" s="31" t="s">
        <v>670</v>
      </c>
    </row>
    <row r="112" spans="1:7" ht="27.6" x14ac:dyDescent="0.3">
      <c r="A112" s="38" t="s">
        <v>54</v>
      </c>
      <c r="B112" s="35" t="s">
        <v>35</v>
      </c>
      <c r="C112" s="35" t="s">
        <v>682</v>
      </c>
      <c r="D112" s="37">
        <v>1800</v>
      </c>
      <c r="E112" s="37">
        <v>460</v>
      </c>
      <c r="F112" s="36">
        <f t="shared" si="1"/>
        <v>0.25555555555555554</v>
      </c>
      <c r="G112" s="35" t="s">
        <v>670</v>
      </c>
    </row>
    <row r="113" spans="1:7" ht="27.6" x14ac:dyDescent="0.3">
      <c r="A113" s="34" t="s">
        <v>54</v>
      </c>
      <c r="B113" s="31" t="s">
        <v>36</v>
      </c>
      <c r="C113" s="31" t="s">
        <v>676</v>
      </c>
      <c r="D113" s="33">
        <v>56000</v>
      </c>
      <c r="E113" s="33">
        <v>9400</v>
      </c>
      <c r="F113" s="32">
        <f t="shared" si="1"/>
        <v>0.16785714285714284</v>
      </c>
      <c r="G113" s="31" t="s">
        <v>670</v>
      </c>
    </row>
    <row r="114" spans="1:7" ht="27.6" x14ac:dyDescent="0.3">
      <c r="A114" s="38" t="s">
        <v>54</v>
      </c>
      <c r="B114" s="35" t="s">
        <v>36</v>
      </c>
      <c r="C114" s="35" t="s">
        <v>681</v>
      </c>
      <c r="D114" s="37">
        <v>62000</v>
      </c>
      <c r="E114" s="37">
        <v>19800</v>
      </c>
      <c r="F114" s="36">
        <f t="shared" si="1"/>
        <v>0.3193548387096774</v>
      </c>
      <c r="G114" s="35" t="s">
        <v>670</v>
      </c>
    </row>
    <row r="115" spans="1:7" ht="27.6" x14ac:dyDescent="0.3">
      <c r="A115" s="34" t="s">
        <v>54</v>
      </c>
      <c r="B115" s="31" t="s">
        <v>36</v>
      </c>
      <c r="C115" s="31" t="s">
        <v>679</v>
      </c>
      <c r="D115" s="33">
        <v>158000</v>
      </c>
      <c r="E115" s="33">
        <v>106500</v>
      </c>
      <c r="F115" s="32">
        <f t="shared" si="1"/>
        <v>0.67405063291139244</v>
      </c>
      <c r="G115" s="31" t="s">
        <v>670</v>
      </c>
    </row>
    <row r="116" spans="1:7" ht="27.6" x14ac:dyDescent="0.3">
      <c r="A116" s="38" t="s">
        <v>54</v>
      </c>
      <c r="B116" s="35" t="s">
        <v>37</v>
      </c>
      <c r="C116" s="35" t="s">
        <v>681</v>
      </c>
      <c r="D116" s="37">
        <v>195000</v>
      </c>
      <c r="E116" s="37">
        <v>62500</v>
      </c>
      <c r="F116" s="36">
        <f t="shared" si="1"/>
        <v>0.32051282051282054</v>
      </c>
      <c r="G116" s="35" t="s">
        <v>670</v>
      </c>
    </row>
    <row r="117" spans="1:7" ht="27.6" x14ac:dyDescent="0.3">
      <c r="A117" s="34" t="s">
        <v>54</v>
      </c>
      <c r="B117" s="31" t="s">
        <v>37</v>
      </c>
      <c r="C117" s="31" t="s">
        <v>679</v>
      </c>
      <c r="D117" s="33">
        <v>88000</v>
      </c>
      <c r="E117" s="33">
        <v>65000</v>
      </c>
      <c r="F117" s="32">
        <f t="shared" si="1"/>
        <v>0.73863636363636365</v>
      </c>
      <c r="G117" s="31" t="s">
        <v>670</v>
      </c>
    </row>
    <row r="118" spans="1:7" ht="27.6" x14ac:dyDescent="0.3">
      <c r="A118" s="38" t="s">
        <v>54</v>
      </c>
      <c r="B118" s="35" t="s">
        <v>38</v>
      </c>
      <c r="C118" s="35" t="s">
        <v>679</v>
      </c>
      <c r="D118" s="37">
        <v>28000</v>
      </c>
      <c r="E118" s="37">
        <v>19200</v>
      </c>
      <c r="F118" s="36">
        <f t="shared" si="1"/>
        <v>0.68571428571428572</v>
      </c>
      <c r="G118" s="35" t="s">
        <v>670</v>
      </c>
    </row>
    <row r="119" spans="1:7" ht="27.6" x14ac:dyDescent="0.3">
      <c r="A119" s="34" t="s">
        <v>54</v>
      </c>
      <c r="B119" s="31" t="s">
        <v>39</v>
      </c>
      <c r="C119" s="31" t="s">
        <v>681</v>
      </c>
      <c r="D119" s="33">
        <v>165000</v>
      </c>
      <c r="E119" s="33">
        <v>41000</v>
      </c>
      <c r="F119" s="32">
        <f t="shared" si="1"/>
        <v>0.24848484848484848</v>
      </c>
      <c r="G119" s="31" t="s">
        <v>670</v>
      </c>
    </row>
    <row r="120" spans="1:7" ht="27.6" x14ac:dyDescent="0.3">
      <c r="A120" s="38" t="s">
        <v>54</v>
      </c>
      <c r="B120" s="35" t="s">
        <v>39</v>
      </c>
      <c r="C120" s="35" t="s">
        <v>679</v>
      </c>
      <c r="D120" s="37">
        <v>285000</v>
      </c>
      <c r="E120" s="37">
        <v>218000</v>
      </c>
      <c r="F120" s="36">
        <f t="shared" si="1"/>
        <v>0.76491228070175443</v>
      </c>
      <c r="G120" s="35" t="s">
        <v>670</v>
      </c>
    </row>
    <row r="121" spans="1:7" ht="27.6" x14ac:dyDescent="0.3">
      <c r="A121" s="34" t="s">
        <v>54</v>
      </c>
      <c r="B121" s="31" t="s">
        <v>40</v>
      </c>
      <c r="C121" s="31" t="s">
        <v>680</v>
      </c>
      <c r="D121" s="33">
        <v>22000</v>
      </c>
      <c r="E121" s="33">
        <v>5800</v>
      </c>
      <c r="F121" s="32">
        <f t="shared" si="1"/>
        <v>0.26363636363636361</v>
      </c>
      <c r="G121" s="31" t="s">
        <v>670</v>
      </c>
    </row>
    <row r="122" spans="1:7" ht="27.6" x14ac:dyDescent="0.3">
      <c r="A122" s="38" t="s">
        <v>54</v>
      </c>
      <c r="B122" s="35" t="s">
        <v>41</v>
      </c>
      <c r="C122" s="35" t="s">
        <v>676</v>
      </c>
      <c r="D122" s="37">
        <v>210000</v>
      </c>
      <c r="E122" s="37">
        <v>65200</v>
      </c>
      <c r="F122" s="36">
        <f t="shared" si="1"/>
        <v>0.31047619047619046</v>
      </c>
      <c r="G122" s="35" t="s">
        <v>670</v>
      </c>
    </row>
    <row r="123" spans="1:7" ht="27.6" x14ac:dyDescent="0.3">
      <c r="A123" s="34" t="s">
        <v>54</v>
      </c>
      <c r="B123" s="31" t="s">
        <v>41</v>
      </c>
      <c r="C123" s="31" t="s">
        <v>679</v>
      </c>
      <c r="D123" s="33">
        <v>290000</v>
      </c>
      <c r="E123" s="33">
        <v>240000</v>
      </c>
      <c r="F123" s="32">
        <f t="shared" si="1"/>
        <v>0.82758620689655171</v>
      </c>
      <c r="G123" s="31" t="s">
        <v>670</v>
      </c>
    </row>
    <row r="124" spans="1:7" ht="27.6" x14ac:dyDescent="0.3">
      <c r="A124" s="38" t="s">
        <v>54</v>
      </c>
      <c r="B124" s="35" t="s">
        <v>42</v>
      </c>
      <c r="C124" s="35" t="s">
        <v>678</v>
      </c>
      <c r="D124" s="37">
        <v>5000</v>
      </c>
      <c r="E124" s="37">
        <v>460</v>
      </c>
      <c r="F124" s="36">
        <f t="shared" si="1"/>
        <v>9.1999999999999998E-2</v>
      </c>
      <c r="G124" s="35" t="s">
        <v>670</v>
      </c>
    </row>
    <row r="125" spans="1:7" ht="27.6" x14ac:dyDescent="0.3">
      <c r="A125" s="34" t="s">
        <v>54</v>
      </c>
      <c r="B125" s="31" t="s">
        <v>43</v>
      </c>
      <c r="C125" s="31" t="s">
        <v>677</v>
      </c>
      <c r="D125" s="33">
        <v>250</v>
      </c>
      <c r="E125" s="33">
        <v>115</v>
      </c>
      <c r="F125" s="32">
        <f t="shared" si="1"/>
        <v>0.46</v>
      </c>
      <c r="G125" s="31" t="s">
        <v>670</v>
      </c>
    </row>
    <row r="126" spans="1:7" ht="27.6" x14ac:dyDescent="0.3">
      <c r="A126" s="38" t="s">
        <v>54</v>
      </c>
      <c r="B126" s="35" t="s">
        <v>44</v>
      </c>
      <c r="C126" s="35" t="s">
        <v>676</v>
      </c>
      <c r="D126" s="37">
        <v>1800</v>
      </c>
      <c r="E126" s="37">
        <v>310</v>
      </c>
      <c r="F126" s="36">
        <f t="shared" si="1"/>
        <v>0.17222222222222222</v>
      </c>
      <c r="G126" s="35" t="s">
        <v>670</v>
      </c>
    </row>
    <row r="127" spans="1:7" ht="27.6" x14ac:dyDescent="0.3">
      <c r="A127" s="34" t="s">
        <v>54</v>
      </c>
      <c r="B127" s="31" t="s">
        <v>45</v>
      </c>
      <c r="C127" s="31" t="s">
        <v>675</v>
      </c>
      <c r="D127" s="33">
        <v>800</v>
      </c>
      <c r="E127" s="33">
        <v>335</v>
      </c>
      <c r="F127" s="32">
        <f t="shared" si="1"/>
        <v>0.41875000000000001</v>
      </c>
      <c r="G127" s="31" t="s">
        <v>670</v>
      </c>
    </row>
    <row r="128" spans="1:7" ht="27.6" x14ac:dyDescent="0.3">
      <c r="A128" s="38" t="s">
        <v>54</v>
      </c>
      <c r="B128" s="35" t="s">
        <v>22</v>
      </c>
      <c r="C128" s="35" t="s">
        <v>674</v>
      </c>
      <c r="D128" s="37">
        <v>35000</v>
      </c>
      <c r="E128" s="37">
        <v>9100</v>
      </c>
      <c r="F128" s="36">
        <f t="shared" si="1"/>
        <v>0.26</v>
      </c>
      <c r="G128" s="35" t="s">
        <v>670</v>
      </c>
    </row>
    <row r="129" spans="1:7" ht="27.6" x14ac:dyDescent="0.3">
      <c r="A129" s="34" t="s">
        <v>54</v>
      </c>
      <c r="B129" s="31" t="s">
        <v>46</v>
      </c>
      <c r="C129" s="31" t="s">
        <v>673</v>
      </c>
      <c r="D129" s="33">
        <v>1200</v>
      </c>
      <c r="E129" s="33">
        <v>240</v>
      </c>
      <c r="F129" s="32">
        <f t="shared" si="1"/>
        <v>0.2</v>
      </c>
      <c r="G129" s="31" t="s">
        <v>670</v>
      </c>
    </row>
    <row r="130" spans="1:7" ht="27.6" x14ac:dyDescent="0.3">
      <c r="A130" s="38" t="s">
        <v>54</v>
      </c>
      <c r="B130" s="35" t="s">
        <v>47</v>
      </c>
      <c r="C130" s="35" t="s">
        <v>672</v>
      </c>
      <c r="D130" s="37">
        <v>3000</v>
      </c>
      <c r="E130" s="37">
        <v>380</v>
      </c>
      <c r="F130" s="36">
        <f t="shared" si="1"/>
        <v>0.12666666666666668</v>
      </c>
      <c r="G130" s="35" t="s">
        <v>670</v>
      </c>
    </row>
    <row r="131" spans="1:7" ht="27.6" x14ac:dyDescent="0.3">
      <c r="A131" s="34" t="s">
        <v>54</v>
      </c>
      <c r="B131" s="31" t="s">
        <v>48</v>
      </c>
      <c r="C131" s="31" t="s">
        <v>671</v>
      </c>
      <c r="D131" s="33">
        <v>2200</v>
      </c>
      <c r="E131" s="33">
        <v>660</v>
      </c>
      <c r="F131" s="32">
        <f t="shared" si="1"/>
        <v>0.3</v>
      </c>
      <c r="G131" s="31" t="s">
        <v>670</v>
      </c>
    </row>
    <row r="132" spans="1:7" ht="27.6" x14ac:dyDescent="0.3">
      <c r="A132" s="38" t="s">
        <v>55</v>
      </c>
      <c r="B132" s="35" t="s">
        <v>12</v>
      </c>
      <c r="C132" s="35" t="s">
        <v>676</v>
      </c>
      <c r="D132" s="37">
        <v>150000</v>
      </c>
      <c r="E132" s="37">
        <v>82100</v>
      </c>
      <c r="F132" s="36">
        <f t="shared" ref="F132:F195" si="2">E132/D132</f>
        <v>0.54733333333333334</v>
      </c>
      <c r="G132" s="35" t="s">
        <v>670</v>
      </c>
    </row>
    <row r="133" spans="1:7" ht="27.6" x14ac:dyDescent="0.3">
      <c r="A133" s="34" t="s">
        <v>55</v>
      </c>
      <c r="B133" s="31" t="s">
        <v>12</v>
      </c>
      <c r="C133" s="31" t="s">
        <v>681</v>
      </c>
      <c r="D133" s="33">
        <v>234000</v>
      </c>
      <c r="E133" s="33">
        <v>49200</v>
      </c>
      <c r="F133" s="32">
        <f t="shared" si="2"/>
        <v>0.21025641025641026</v>
      </c>
      <c r="G133" s="31" t="s">
        <v>670</v>
      </c>
    </row>
    <row r="134" spans="1:7" ht="27.6" x14ac:dyDescent="0.3">
      <c r="A134" s="38" t="s">
        <v>55</v>
      </c>
      <c r="B134" s="35" t="s">
        <v>12</v>
      </c>
      <c r="C134" s="35" t="s">
        <v>679</v>
      </c>
      <c r="D134" s="37">
        <v>180000</v>
      </c>
      <c r="E134" s="37">
        <v>124000</v>
      </c>
      <c r="F134" s="36">
        <f t="shared" si="2"/>
        <v>0.68888888888888888</v>
      </c>
      <c r="G134" s="35" t="s">
        <v>670</v>
      </c>
    </row>
    <row r="135" spans="1:7" ht="27.6" x14ac:dyDescent="0.3">
      <c r="A135" s="34" t="s">
        <v>55</v>
      </c>
      <c r="B135" s="31" t="s">
        <v>14</v>
      </c>
      <c r="C135" s="31" t="s">
        <v>686</v>
      </c>
      <c r="D135" s="33">
        <v>8500</v>
      </c>
      <c r="E135" s="33">
        <v>1500</v>
      </c>
      <c r="F135" s="32">
        <f t="shared" si="2"/>
        <v>0.17647058823529413</v>
      </c>
      <c r="G135" s="31" t="s">
        <v>670</v>
      </c>
    </row>
    <row r="136" spans="1:7" ht="27.6" x14ac:dyDescent="0.3">
      <c r="A136" s="38" t="s">
        <v>55</v>
      </c>
      <c r="B136" s="35" t="s">
        <v>14</v>
      </c>
      <c r="C136" s="35" t="s">
        <v>679</v>
      </c>
      <c r="D136" s="37">
        <v>3200</v>
      </c>
      <c r="E136" s="37">
        <v>2100</v>
      </c>
      <c r="F136" s="36">
        <f t="shared" si="2"/>
        <v>0.65625</v>
      </c>
      <c r="G136" s="35" t="s">
        <v>670</v>
      </c>
    </row>
    <row r="137" spans="1:7" ht="27.6" x14ac:dyDescent="0.3">
      <c r="A137" s="34" t="s">
        <v>55</v>
      </c>
      <c r="B137" s="31" t="s">
        <v>15</v>
      </c>
      <c r="C137" s="31" t="s">
        <v>685</v>
      </c>
      <c r="D137" s="33">
        <v>100000</v>
      </c>
      <c r="E137" s="33">
        <v>45000</v>
      </c>
      <c r="F137" s="32">
        <f t="shared" si="2"/>
        <v>0.45</v>
      </c>
      <c r="G137" s="31" t="s">
        <v>670</v>
      </c>
    </row>
    <row r="138" spans="1:7" ht="27.6" x14ac:dyDescent="0.3">
      <c r="A138" s="38" t="s">
        <v>55</v>
      </c>
      <c r="B138" s="35" t="s">
        <v>15</v>
      </c>
      <c r="C138" s="35" t="s">
        <v>679</v>
      </c>
      <c r="D138" s="37">
        <v>75000</v>
      </c>
      <c r="E138" s="37">
        <v>57000</v>
      </c>
      <c r="F138" s="36">
        <f t="shared" si="2"/>
        <v>0.76</v>
      </c>
      <c r="G138" s="35" t="s">
        <v>670</v>
      </c>
    </row>
    <row r="139" spans="1:7" ht="27.6" x14ac:dyDescent="0.3">
      <c r="A139" s="34" t="s">
        <v>55</v>
      </c>
      <c r="B139" s="31" t="s">
        <v>16</v>
      </c>
      <c r="C139" s="31" t="s">
        <v>684</v>
      </c>
      <c r="D139" s="33">
        <v>46000</v>
      </c>
      <c r="E139" s="33">
        <v>21200</v>
      </c>
      <c r="F139" s="32">
        <f t="shared" si="2"/>
        <v>0.46086956521739131</v>
      </c>
      <c r="G139" s="31" t="s">
        <v>670</v>
      </c>
    </row>
    <row r="140" spans="1:7" ht="27.6" x14ac:dyDescent="0.3">
      <c r="A140" s="38" t="s">
        <v>55</v>
      </c>
      <c r="B140" s="35" t="s">
        <v>16</v>
      </c>
      <c r="C140" s="35" t="s">
        <v>679</v>
      </c>
      <c r="D140" s="37">
        <v>92000</v>
      </c>
      <c r="E140" s="37">
        <v>74500</v>
      </c>
      <c r="F140" s="36">
        <f t="shared" si="2"/>
        <v>0.80978260869565222</v>
      </c>
      <c r="G140" s="35" t="s">
        <v>670</v>
      </c>
    </row>
    <row r="141" spans="1:7" ht="27.6" x14ac:dyDescent="0.3">
      <c r="A141" s="34" t="s">
        <v>55</v>
      </c>
      <c r="B141" s="31" t="s">
        <v>17</v>
      </c>
      <c r="C141" s="31" t="s">
        <v>681</v>
      </c>
      <c r="D141" s="33">
        <v>84000</v>
      </c>
      <c r="E141" s="33">
        <v>33000</v>
      </c>
      <c r="F141" s="32">
        <f t="shared" si="2"/>
        <v>0.39285714285714285</v>
      </c>
      <c r="G141" s="31" t="s">
        <v>670</v>
      </c>
    </row>
    <row r="142" spans="1:7" ht="27.6" x14ac:dyDescent="0.3">
      <c r="A142" s="38" t="s">
        <v>55</v>
      </c>
      <c r="B142" s="35" t="s">
        <v>17</v>
      </c>
      <c r="C142" s="35" t="s">
        <v>679</v>
      </c>
      <c r="D142" s="37">
        <v>110000</v>
      </c>
      <c r="E142" s="37">
        <v>88900</v>
      </c>
      <c r="F142" s="36">
        <f t="shared" si="2"/>
        <v>0.80818181818181822</v>
      </c>
      <c r="G142" s="35" t="s">
        <v>670</v>
      </c>
    </row>
    <row r="143" spans="1:7" ht="27.6" x14ac:dyDescent="0.3">
      <c r="A143" s="34" t="s">
        <v>55</v>
      </c>
      <c r="B143" s="31" t="s">
        <v>18</v>
      </c>
      <c r="C143" s="31" t="s">
        <v>676</v>
      </c>
      <c r="D143" s="33">
        <v>12000</v>
      </c>
      <c r="E143" s="33">
        <v>3400</v>
      </c>
      <c r="F143" s="32">
        <f t="shared" si="2"/>
        <v>0.28333333333333333</v>
      </c>
      <c r="G143" s="31" t="s">
        <v>670</v>
      </c>
    </row>
    <row r="144" spans="1:7" ht="27.6" x14ac:dyDescent="0.3">
      <c r="A144" s="38" t="s">
        <v>55</v>
      </c>
      <c r="B144" s="35" t="s">
        <v>18</v>
      </c>
      <c r="C144" s="35" t="s">
        <v>681</v>
      </c>
      <c r="D144" s="37">
        <v>3500</v>
      </c>
      <c r="E144" s="37">
        <v>1000</v>
      </c>
      <c r="F144" s="36">
        <f t="shared" si="2"/>
        <v>0.2857142857142857</v>
      </c>
      <c r="G144" s="35" t="s">
        <v>670</v>
      </c>
    </row>
    <row r="145" spans="1:7" ht="27.6" x14ac:dyDescent="0.3">
      <c r="A145" s="34" t="s">
        <v>55</v>
      </c>
      <c r="B145" s="31" t="s">
        <v>19</v>
      </c>
      <c r="C145" s="31" t="s">
        <v>676</v>
      </c>
      <c r="D145" s="33">
        <v>376000</v>
      </c>
      <c r="E145" s="33">
        <v>12200</v>
      </c>
      <c r="F145" s="32">
        <f t="shared" si="2"/>
        <v>3.2446808510638296E-2</v>
      </c>
      <c r="G145" s="31" t="s">
        <v>670</v>
      </c>
    </row>
    <row r="146" spans="1:7" ht="27.6" x14ac:dyDescent="0.3">
      <c r="A146" s="38" t="s">
        <v>55</v>
      </c>
      <c r="B146" s="35" t="s">
        <v>19</v>
      </c>
      <c r="C146" s="35" t="s">
        <v>681</v>
      </c>
      <c r="D146" s="37">
        <v>285000</v>
      </c>
      <c r="E146" s="37">
        <v>42500</v>
      </c>
      <c r="F146" s="36">
        <f t="shared" si="2"/>
        <v>0.14912280701754385</v>
      </c>
      <c r="G146" s="35" t="s">
        <v>670</v>
      </c>
    </row>
    <row r="147" spans="1:7" ht="27.6" x14ac:dyDescent="0.3">
      <c r="A147" s="34" t="s">
        <v>55</v>
      </c>
      <c r="B147" s="31" t="s">
        <v>19</v>
      </c>
      <c r="C147" s="31" t="s">
        <v>679</v>
      </c>
      <c r="D147" s="33">
        <v>45000</v>
      </c>
      <c r="E147" s="33">
        <v>29000</v>
      </c>
      <c r="F147" s="32">
        <f t="shared" si="2"/>
        <v>0.64444444444444449</v>
      </c>
      <c r="G147" s="31" t="s">
        <v>670</v>
      </c>
    </row>
    <row r="148" spans="1:7" ht="27.6" x14ac:dyDescent="0.3">
      <c r="A148" s="38" t="s">
        <v>55</v>
      </c>
      <c r="B148" s="35" t="s">
        <v>20</v>
      </c>
      <c r="C148" s="35" t="s">
        <v>53</v>
      </c>
      <c r="D148" s="37">
        <v>20000</v>
      </c>
      <c r="E148" s="37">
        <v>4100</v>
      </c>
      <c r="F148" s="36">
        <f t="shared" si="2"/>
        <v>0.20499999999999999</v>
      </c>
      <c r="G148" s="35" t="s">
        <v>670</v>
      </c>
    </row>
    <row r="149" spans="1:7" ht="27.6" x14ac:dyDescent="0.3">
      <c r="A149" s="34" t="s">
        <v>55</v>
      </c>
      <c r="B149" s="31" t="s">
        <v>20</v>
      </c>
      <c r="C149" s="31" t="s">
        <v>679</v>
      </c>
      <c r="D149" s="33">
        <v>18500</v>
      </c>
      <c r="E149" s="33">
        <v>14000</v>
      </c>
      <c r="F149" s="32">
        <f t="shared" si="2"/>
        <v>0.7567567567567568</v>
      </c>
      <c r="G149" s="31" t="s">
        <v>670</v>
      </c>
    </row>
    <row r="150" spans="1:7" ht="27.6" x14ac:dyDescent="0.3">
      <c r="A150" s="38" t="s">
        <v>55</v>
      </c>
      <c r="B150" s="35" t="s">
        <v>21</v>
      </c>
      <c r="C150" s="35" t="s">
        <v>681</v>
      </c>
      <c r="D150" s="37">
        <v>42000</v>
      </c>
      <c r="E150" s="37">
        <v>15500</v>
      </c>
      <c r="F150" s="36">
        <f t="shared" si="2"/>
        <v>0.36904761904761907</v>
      </c>
      <c r="G150" s="35" t="s">
        <v>670</v>
      </c>
    </row>
    <row r="151" spans="1:7" ht="27.6" x14ac:dyDescent="0.3">
      <c r="A151" s="34" t="s">
        <v>55</v>
      </c>
      <c r="B151" s="31" t="s">
        <v>21</v>
      </c>
      <c r="C151" s="31" t="s">
        <v>682</v>
      </c>
      <c r="D151" s="33">
        <v>2500</v>
      </c>
      <c r="E151" s="33">
        <v>960</v>
      </c>
      <c r="F151" s="32">
        <f t="shared" si="2"/>
        <v>0.38400000000000001</v>
      </c>
      <c r="G151" s="31" t="s">
        <v>670</v>
      </c>
    </row>
    <row r="152" spans="1:7" ht="27.6" x14ac:dyDescent="0.3">
      <c r="A152" s="38" t="s">
        <v>55</v>
      </c>
      <c r="B152" s="35" t="s">
        <v>23</v>
      </c>
      <c r="C152" s="35" t="s">
        <v>681</v>
      </c>
      <c r="D152" s="37">
        <v>115000</v>
      </c>
      <c r="E152" s="37">
        <v>33500</v>
      </c>
      <c r="F152" s="36">
        <f t="shared" si="2"/>
        <v>0.29130434782608694</v>
      </c>
      <c r="G152" s="35" t="s">
        <v>670</v>
      </c>
    </row>
    <row r="153" spans="1:7" ht="27.6" x14ac:dyDescent="0.3">
      <c r="A153" s="34" t="s">
        <v>55</v>
      </c>
      <c r="B153" s="31" t="s">
        <v>23</v>
      </c>
      <c r="C153" s="31" t="s">
        <v>679</v>
      </c>
      <c r="D153" s="33">
        <v>38000</v>
      </c>
      <c r="E153" s="33">
        <v>27200</v>
      </c>
      <c r="F153" s="32">
        <f t="shared" si="2"/>
        <v>0.71578947368421053</v>
      </c>
      <c r="G153" s="31" t="s">
        <v>670</v>
      </c>
    </row>
    <row r="154" spans="1:7" ht="27.6" x14ac:dyDescent="0.3">
      <c r="A154" s="38" t="s">
        <v>55</v>
      </c>
      <c r="B154" s="35" t="s">
        <v>24</v>
      </c>
      <c r="C154" s="35" t="s">
        <v>676</v>
      </c>
      <c r="D154" s="37">
        <v>8000</v>
      </c>
      <c r="E154" s="37">
        <v>2100</v>
      </c>
      <c r="F154" s="36">
        <f t="shared" si="2"/>
        <v>0.26250000000000001</v>
      </c>
      <c r="G154" s="35" t="s">
        <v>670</v>
      </c>
    </row>
    <row r="155" spans="1:7" ht="27.6" x14ac:dyDescent="0.3">
      <c r="A155" s="34" t="s">
        <v>55</v>
      </c>
      <c r="B155" s="31" t="s">
        <v>24</v>
      </c>
      <c r="C155" s="31" t="s">
        <v>681</v>
      </c>
      <c r="D155" s="33">
        <v>220000</v>
      </c>
      <c r="E155" s="33">
        <v>43800</v>
      </c>
      <c r="F155" s="32">
        <f t="shared" si="2"/>
        <v>0.1990909090909091</v>
      </c>
      <c r="G155" s="31" t="s">
        <v>670</v>
      </c>
    </row>
    <row r="156" spans="1:7" ht="27.6" x14ac:dyDescent="0.3">
      <c r="A156" s="38" t="s">
        <v>55</v>
      </c>
      <c r="B156" s="35" t="s">
        <v>24</v>
      </c>
      <c r="C156" s="35" t="s">
        <v>679</v>
      </c>
      <c r="D156" s="37">
        <v>145000</v>
      </c>
      <c r="E156" s="37">
        <v>96000</v>
      </c>
      <c r="F156" s="36">
        <f t="shared" si="2"/>
        <v>0.66206896551724137</v>
      </c>
      <c r="G156" s="35" t="s">
        <v>670</v>
      </c>
    </row>
    <row r="157" spans="1:7" ht="27.6" x14ac:dyDescent="0.3">
      <c r="A157" s="34" t="s">
        <v>55</v>
      </c>
      <c r="B157" s="31" t="s">
        <v>25</v>
      </c>
      <c r="C157" s="31" t="s">
        <v>676</v>
      </c>
      <c r="D157" s="33">
        <v>65000</v>
      </c>
      <c r="E157" s="33">
        <v>13700</v>
      </c>
      <c r="F157" s="32">
        <f t="shared" si="2"/>
        <v>0.21076923076923076</v>
      </c>
      <c r="G157" s="31" t="s">
        <v>670</v>
      </c>
    </row>
    <row r="158" spans="1:7" ht="27.6" x14ac:dyDescent="0.3">
      <c r="A158" s="38" t="s">
        <v>55</v>
      </c>
      <c r="B158" s="35" t="s">
        <v>25</v>
      </c>
      <c r="C158" s="35" t="s">
        <v>681</v>
      </c>
      <c r="D158" s="37">
        <v>33000</v>
      </c>
      <c r="E158" s="37">
        <v>8000</v>
      </c>
      <c r="F158" s="36">
        <f t="shared" si="2"/>
        <v>0.24242424242424243</v>
      </c>
      <c r="G158" s="35" t="s">
        <v>670</v>
      </c>
    </row>
    <row r="159" spans="1:7" ht="27.6" x14ac:dyDescent="0.3">
      <c r="A159" s="34" t="s">
        <v>55</v>
      </c>
      <c r="B159" s="31" t="s">
        <v>25</v>
      </c>
      <c r="C159" s="31" t="s">
        <v>679</v>
      </c>
      <c r="D159" s="33">
        <v>28000</v>
      </c>
      <c r="E159" s="33">
        <v>18000</v>
      </c>
      <c r="F159" s="32">
        <f t="shared" si="2"/>
        <v>0.6428571428571429</v>
      </c>
      <c r="G159" s="31" t="s">
        <v>670</v>
      </c>
    </row>
    <row r="160" spans="1:7" ht="27.6" x14ac:dyDescent="0.3">
      <c r="A160" s="38" t="s">
        <v>55</v>
      </c>
      <c r="B160" s="35" t="s">
        <v>26</v>
      </c>
      <c r="C160" s="35" t="s">
        <v>681</v>
      </c>
      <c r="D160" s="37">
        <v>380000</v>
      </c>
      <c r="E160" s="37">
        <v>109000</v>
      </c>
      <c r="F160" s="36">
        <f t="shared" si="2"/>
        <v>0.2868421052631579</v>
      </c>
      <c r="G160" s="35" t="s">
        <v>670</v>
      </c>
    </row>
    <row r="161" spans="1:7" ht="27.6" x14ac:dyDescent="0.3">
      <c r="A161" s="34" t="s">
        <v>55</v>
      </c>
      <c r="B161" s="31" t="s">
        <v>26</v>
      </c>
      <c r="C161" s="31" t="s">
        <v>679</v>
      </c>
      <c r="D161" s="33">
        <v>160000</v>
      </c>
      <c r="E161" s="33">
        <v>128000</v>
      </c>
      <c r="F161" s="32">
        <f t="shared" si="2"/>
        <v>0.8</v>
      </c>
      <c r="G161" s="31" t="s">
        <v>670</v>
      </c>
    </row>
    <row r="162" spans="1:7" ht="27.6" x14ac:dyDescent="0.3">
      <c r="A162" s="38" t="s">
        <v>55</v>
      </c>
      <c r="B162" s="35" t="s">
        <v>27</v>
      </c>
      <c r="C162" s="35" t="s">
        <v>676</v>
      </c>
      <c r="D162" s="37">
        <v>10000</v>
      </c>
      <c r="E162" s="37">
        <v>1620</v>
      </c>
      <c r="F162" s="36">
        <f t="shared" si="2"/>
        <v>0.16200000000000001</v>
      </c>
      <c r="G162" s="35" t="s">
        <v>670</v>
      </c>
    </row>
    <row r="163" spans="1:7" ht="27.6" x14ac:dyDescent="0.3">
      <c r="A163" s="34" t="s">
        <v>55</v>
      </c>
      <c r="B163" s="31" t="s">
        <v>27</v>
      </c>
      <c r="C163" s="31" t="s">
        <v>681</v>
      </c>
      <c r="D163" s="33">
        <v>273000</v>
      </c>
      <c r="E163" s="33">
        <v>54200</v>
      </c>
      <c r="F163" s="32">
        <f t="shared" si="2"/>
        <v>0.19853479853479852</v>
      </c>
      <c r="G163" s="31" t="s">
        <v>670</v>
      </c>
    </row>
    <row r="164" spans="1:7" ht="27.6" x14ac:dyDescent="0.3">
      <c r="A164" s="38" t="s">
        <v>55</v>
      </c>
      <c r="B164" s="35" t="s">
        <v>27</v>
      </c>
      <c r="C164" s="35" t="s">
        <v>679</v>
      </c>
      <c r="D164" s="37">
        <v>82000</v>
      </c>
      <c r="E164" s="37">
        <v>56000</v>
      </c>
      <c r="F164" s="36">
        <f t="shared" si="2"/>
        <v>0.68292682926829273</v>
      </c>
      <c r="G164" s="35" t="s">
        <v>670</v>
      </c>
    </row>
    <row r="165" spans="1:7" ht="27.6" x14ac:dyDescent="0.3">
      <c r="A165" s="34" t="s">
        <v>55</v>
      </c>
      <c r="B165" s="31" t="s">
        <v>28</v>
      </c>
      <c r="C165" s="31" t="s">
        <v>677</v>
      </c>
      <c r="D165" s="33">
        <v>40000</v>
      </c>
      <c r="E165" s="33">
        <v>19800</v>
      </c>
      <c r="F165" s="32">
        <f t="shared" si="2"/>
        <v>0.495</v>
      </c>
      <c r="G165" s="31" t="s">
        <v>670</v>
      </c>
    </row>
    <row r="166" spans="1:7" ht="27.6" x14ac:dyDescent="0.3">
      <c r="A166" s="38" t="s">
        <v>55</v>
      </c>
      <c r="B166" s="35" t="s">
        <v>29</v>
      </c>
      <c r="C166" s="35" t="s">
        <v>679</v>
      </c>
      <c r="D166" s="37">
        <v>12000</v>
      </c>
      <c r="E166" s="37">
        <v>6900</v>
      </c>
      <c r="F166" s="36">
        <f t="shared" si="2"/>
        <v>0.57499999999999996</v>
      </c>
      <c r="G166" s="35" t="s">
        <v>670</v>
      </c>
    </row>
    <row r="167" spans="1:7" ht="27.6" x14ac:dyDescent="0.3">
      <c r="A167" s="34" t="s">
        <v>55</v>
      </c>
      <c r="B167" s="31" t="s">
        <v>30</v>
      </c>
      <c r="C167" s="31" t="s">
        <v>679</v>
      </c>
      <c r="D167" s="33">
        <v>8500</v>
      </c>
      <c r="E167" s="33">
        <v>4300</v>
      </c>
      <c r="F167" s="32">
        <f t="shared" si="2"/>
        <v>0.50588235294117645</v>
      </c>
      <c r="G167" s="31" t="s">
        <v>670</v>
      </c>
    </row>
    <row r="168" spans="1:7" ht="27.6" x14ac:dyDescent="0.3">
      <c r="A168" s="38" t="s">
        <v>55</v>
      </c>
      <c r="B168" s="35" t="s">
        <v>31</v>
      </c>
      <c r="C168" s="35" t="s">
        <v>679</v>
      </c>
      <c r="D168" s="37">
        <v>9800</v>
      </c>
      <c r="E168" s="37">
        <v>5100</v>
      </c>
      <c r="F168" s="36">
        <f t="shared" si="2"/>
        <v>0.52040816326530615</v>
      </c>
      <c r="G168" s="35" t="s">
        <v>670</v>
      </c>
    </row>
    <row r="169" spans="1:7" ht="27.6" x14ac:dyDescent="0.3">
      <c r="A169" s="34" t="s">
        <v>55</v>
      </c>
      <c r="B169" s="31" t="s">
        <v>32</v>
      </c>
      <c r="C169" s="31" t="s">
        <v>676</v>
      </c>
      <c r="D169" s="33">
        <v>32000</v>
      </c>
      <c r="E169" s="33">
        <v>12800</v>
      </c>
      <c r="F169" s="32">
        <f t="shared" si="2"/>
        <v>0.4</v>
      </c>
      <c r="G169" s="31" t="s">
        <v>670</v>
      </c>
    </row>
    <row r="170" spans="1:7" ht="27.6" x14ac:dyDescent="0.3">
      <c r="A170" s="38" t="s">
        <v>55</v>
      </c>
      <c r="B170" s="35" t="s">
        <v>32</v>
      </c>
      <c r="C170" s="35" t="s">
        <v>681</v>
      </c>
      <c r="D170" s="37">
        <v>260000</v>
      </c>
      <c r="E170" s="37">
        <v>57200</v>
      </c>
      <c r="F170" s="36">
        <f t="shared" si="2"/>
        <v>0.22</v>
      </c>
      <c r="G170" s="35" t="s">
        <v>670</v>
      </c>
    </row>
    <row r="171" spans="1:7" ht="27.6" x14ac:dyDescent="0.3">
      <c r="A171" s="34" t="s">
        <v>55</v>
      </c>
      <c r="B171" s="31" t="s">
        <v>32</v>
      </c>
      <c r="C171" s="31" t="s">
        <v>679</v>
      </c>
      <c r="D171" s="33">
        <v>125000</v>
      </c>
      <c r="E171" s="33">
        <v>96500</v>
      </c>
      <c r="F171" s="32">
        <f t="shared" si="2"/>
        <v>0.77200000000000002</v>
      </c>
      <c r="G171" s="31" t="s">
        <v>670</v>
      </c>
    </row>
    <row r="172" spans="1:7" ht="27.6" x14ac:dyDescent="0.3">
      <c r="A172" s="38" t="s">
        <v>55</v>
      </c>
      <c r="B172" s="35" t="s">
        <v>33</v>
      </c>
      <c r="C172" s="35" t="s">
        <v>53</v>
      </c>
      <c r="D172" s="37">
        <v>15000</v>
      </c>
      <c r="E172" s="37">
        <v>5000</v>
      </c>
      <c r="F172" s="36">
        <f t="shared" si="2"/>
        <v>0.33333333333333331</v>
      </c>
      <c r="G172" s="35" t="s">
        <v>670</v>
      </c>
    </row>
    <row r="173" spans="1:7" ht="27.6" x14ac:dyDescent="0.3">
      <c r="A173" s="34" t="s">
        <v>55</v>
      </c>
      <c r="B173" s="31" t="s">
        <v>33</v>
      </c>
      <c r="C173" s="31" t="s">
        <v>679</v>
      </c>
      <c r="D173" s="33">
        <v>14000</v>
      </c>
      <c r="E173" s="33">
        <v>10800</v>
      </c>
      <c r="F173" s="32">
        <f t="shared" si="2"/>
        <v>0.77142857142857146</v>
      </c>
      <c r="G173" s="31" t="s">
        <v>670</v>
      </c>
    </row>
    <row r="174" spans="1:7" ht="27.6" x14ac:dyDescent="0.3">
      <c r="A174" s="38" t="s">
        <v>55</v>
      </c>
      <c r="B174" s="35" t="s">
        <v>34</v>
      </c>
      <c r="C174" s="35" t="s">
        <v>683</v>
      </c>
      <c r="D174" s="37">
        <v>180000</v>
      </c>
      <c r="E174" s="37">
        <v>22000</v>
      </c>
      <c r="F174" s="36">
        <f t="shared" si="2"/>
        <v>0.12222222222222222</v>
      </c>
      <c r="G174" s="35" t="s">
        <v>670</v>
      </c>
    </row>
    <row r="175" spans="1:7" ht="27.6" x14ac:dyDescent="0.3">
      <c r="A175" s="34" t="s">
        <v>55</v>
      </c>
      <c r="B175" s="31" t="s">
        <v>34</v>
      </c>
      <c r="C175" s="31" t="s">
        <v>679</v>
      </c>
      <c r="D175" s="33">
        <v>35000</v>
      </c>
      <c r="E175" s="33">
        <v>23500</v>
      </c>
      <c r="F175" s="32">
        <f t="shared" si="2"/>
        <v>0.67142857142857137</v>
      </c>
      <c r="G175" s="31" t="s">
        <v>670</v>
      </c>
    </row>
    <row r="176" spans="1:7" ht="27.6" x14ac:dyDescent="0.3">
      <c r="A176" s="38" t="s">
        <v>55</v>
      </c>
      <c r="B176" s="35" t="s">
        <v>35</v>
      </c>
      <c r="C176" s="35" t="s">
        <v>682</v>
      </c>
      <c r="D176" s="37">
        <v>1800</v>
      </c>
      <c r="E176" s="37">
        <v>510</v>
      </c>
      <c r="F176" s="36">
        <f t="shared" si="2"/>
        <v>0.28333333333333333</v>
      </c>
      <c r="G176" s="35" t="s">
        <v>670</v>
      </c>
    </row>
    <row r="177" spans="1:7" ht="27.6" x14ac:dyDescent="0.3">
      <c r="A177" s="34" t="s">
        <v>55</v>
      </c>
      <c r="B177" s="31" t="s">
        <v>36</v>
      </c>
      <c r="C177" s="31" t="s">
        <v>676</v>
      </c>
      <c r="D177" s="33">
        <v>56000</v>
      </c>
      <c r="E177" s="33">
        <v>10000</v>
      </c>
      <c r="F177" s="32">
        <f t="shared" si="2"/>
        <v>0.17857142857142858</v>
      </c>
      <c r="G177" s="31" t="s">
        <v>670</v>
      </c>
    </row>
    <row r="178" spans="1:7" ht="27.6" x14ac:dyDescent="0.3">
      <c r="A178" s="38" t="s">
        <v>55</v>
      </c>
      <c r="B178" s="35" t="s">
        <v>36</v>
      </c>
      <c r="C178" s="35" t="s">
        <v>681</v>
      </c>
      <c r="D178" s="37">
        <v>62000</v>
      </c>
      <c r="E178" s="37">
        <v>21200</v>
      </c>
      <c r="F178" s="36">
        <f t="shared" si="2"/>
        <v>0.34193548387096773</v>
      </c>
      <c r="G178" s="35" t="s">
        <v>670</v>
      </c>
    </row>
    <row r="179" spans="1:7" ht="27.6" x14ac:dyDescent="0.3">
      <c r="A179" s="34" t="s">
        <v>55</v>
      </c>
      <c r="B179" s="31" t="s">
        <v>36</v>
      </c>
      <c r="C179" s="31" t="s">
        <v>679</v>
      </c>
      <c r="D179" s="33">
        <v>158000</v>
      </c>
      <c r="E179" s="33">
        <v>111000</v>
      </c>
      <c r="F179" s="32">
        <f t="shared" si="2"/>
        <v>0.70253164556962022</v>
      </c>
      <c r="G179" s="31" t="s">
        <v>670</v>
      </c>
    </row>
    <row r="180" spans="1:7" ht="27.6" x14ac:dyDescent="0.3">
      <c r="A180" s="38" t="s">
        <v>55</v>
      </c>
      <c r="B180" s="35" t="s">
        <v>37</v>
      </c>
      <c r="C180" s="35" t="s">
        <v>681</v>
      </c>
      <c r="D180" s="37">
        <v>195000</v>
      </c>
      <c r="E180" s="37">
        <v>67000</v>
      </c>
      <c r="F180" s="36">
        <f t="shared" si="2"/>
        <v>0.34358974358974359</v>
      </c>
      <c r="G180" s="35" t="s">
        <v>670</v>
      </c>
    </row>
    <row r="181" spans="1:7" ht="27.6" x14ac:dyDescent="0.3">
      <c r="A181" s="34" t="s">
        <v>55</v>
      </c>
      <c r="B181" s="31" t="s">
        <v>37</v>
      </c>
      <c r="C181" s="31" t="s">
        <v>679</v>
      </c>
      <c r="D181" s="33">
        <v>88000</v>
      </c>
      <c r="E181" s="33">
        <v>68200</v>
      </c>
      <c r="F181" s="32">
        <f t="shared" si="2"/>
        <v>0.77500000000000002</v>
      </c>
      <c r="G181" s="31" t="s">
        <v>670</v>
      </c>
    </row>
    <row r="182" spans="1:7" ht="27.6" x14ac:dyDescent="0.3">
      <c r="A182" s="38" t="s">
        <v>55</v>
      </c>
      <c r="B182" s="35" t="s">
        <v>38</v>
      </c>
      <c r="C182" s="35" t="s">
        <v>679</v>
      </c>
      <c r="D182" s="37">
        <v>28000</v>
      </c>
      <c r="E182" s="37">
        <v>20000</v>
      </c>
      <c r="F182" s="36">
        <f t="shared" si="2"/>
        <v>0.7142857142857143</v>
      </c>
      <c r="G182" s="35" t="s">
        <v>670</v>
      </c>
    </row>
    <row r="183" spans="1:7" ht="27.6" x14ac:dyDescent="0.3">
      <c r="A183" s="34" t="s">
        <v>55</v>
      </c>
      <c r="B183" s="31" t="s">
        <v>39</v>
      </c>
      <c r="C183" s="31" t="s">
        <v>681</v>
      </c>
      <c r="D183" s="33">
        <v>165000</v>
      </c>
      <c r="E183" s="33">
        <v>44200</v>
      </c>
      <c r="F183" s="32">
        <f t="shared" si="2"/>
        <v>0.26787878787878788</v>
      </c>
      <c r="G183" s="31" t="s">
        <v>670</v>
      </c>
    </row>
    <row r="184" spans="1:7" ht="27.6" x14ac:dyDescent="0.3">
      <c r="A184" s="38" t="s">
        <v>55</v>
      </c>
      <c r="B184" s="35" t="s">
        <v>39</v>
      </c>
      <c r="C184" s="35" t="s">
        <v>679</v>
      </c>
      <c r="D184" s="37">
        <v>285000</v>
      </c>
      <c r="E184" s="37">
        <v>226000</v>
      </c>
      <c r="F184" s="36">
        <f t="shared" si="2"/>
        <v>0.7929824561403509</v>
      </c>
      <c r="G184" s="35" t="s">
        <v>670</v>
      </c>
    </row>
    <row r="185" spans="1:7" ht="27.6" x14ac:dyDescent="0.3">
      <c r="A185" s="34" t="s">
        <v>55</v>
      </c>
      <c r="B185" s="31" t="s">
        <v>40</v>
      </c>
      <c r="C185" s="31" t="s">
        <v>680</v>
      </c>
      <c r="D185" s="33">
        <v>22000</v>
      </c>
      <c r="E185" s="33">
        <v>6250</v>
      </c>
      <c r="F185" s="32">
        <f t="shared" si="2"/>
        <v>0.28409090909090912</v>
      </c>
      <c r="G185" s="31" t="s">
        <v>670</v>
      </c>
    </row>
    <row r="186" spans="1:7" ht="27.6" x14ac:dyDescent="0.3">
      <c r="A186" s="38" t="s">
        <v>55</v>
      </c>
      <c r="B186" s="35" t="s">
        <v>41</v>
      </c>
      <c r="C186" s="35" t="s">
        <v>676</v>
      </c>
      <c r="D186" s="37">
        <v>210000</v>
      </c>
      <c r="E186" s="37">
        <v>67800</v>
      </c>
      <c r="F186" s="36">
        <f t="shared" si="2"/>
        <v>0.32285714285714284</v>
      </c>
      <c r="G186" s="35" t="s">
        <v>670</v>
      </c>
    </row>
    <row r="187" spans="1:7" ht="27.6" x14ac:dyDescent="0.3">
      <c r="A187" s="34" t="s">
        <v>55</v>
      </c>
      <c r="B187" s="31" t="s">
        <v>41</v>
      </c>
      <c r="C187" s="31" t="s">
        <v>679</v>
      </c>
      <c r="D187" s="33">
        <v>290000</v>
      </c>
      <c r="E187" s="33">
        <v>248000</v>
      </c>
      <c r="F187" s="32">
        <f t="shared" si="2"/>
        <v>0.85517241379310349</v>
      </c>
      <c r="G187" s="31" t="s">
        <v>670</v>
      </c>
    </row>
    <row r="188" spans="1:7" ht="27.6" x14ac:dyDescent="0.3">
      <c r="A188" s="38" t="s">
        <v>55</v>
      </c>
      <c r="B188" s="35" t="s">
        <v>42</v>
      </c>
      <c r="C188" s="35" t="s">
        <v>678</v>
      </c>
      <c r="D188" s="37">
        <v>5000</v>
      </c>
      <c r="E188" s="37">
        <v>500</v>
      </c>
      <c r="F188" s="36">
        <f t="shared" si="2"/>
        <v>0.1</v>
      </c>
      <c r="G188" s="35" t="s">
        <v>670</v>
      </c>
    </row>
    <row r="189" spans="1:7" ht="27.6" x14ac:dyDescent="0.3">
      <c r="A189" s="34" t="s">
        <v>55</v>
      </c>
      <c r="B189" s="31" t="s">
        <v>43</v>
      </c>
      <c r="C189" s="31" t="s">
        <v>677</v>
      </c>
      <c r="D189" s="33">
        <v>250</v>
      </c>
      <c r="E189" s="33">
        <v>120</v>
      </c>
      <c r="F189" s="32">
        <f t="shared" si="2"/>
        <v>0.48</v>
      </c>
      <c r="G189" s="31" t="s">
        <v>670</v>
      </c>
    </row>
    <row r="190" spans="1:7" ht="27.6" x14ac:dyDescent="0.3">
      <c r="A190" s="38" t="s">
        <v>55</v>
      </c>
      <c r="B190" s="35" t="s">
        <v>44</v>
      </c>
      <c r="C190" s="35" t="s">
        <v>676</v>
      </c>
      <c r="D190" s="37">
        <v>1800</v>
      </c>
      <c r="E190" s="37">
        <v>340</v>
      </c>
      <c r="F190" s="36">
        <f t="shared" si="2"/>
        <v>0.18888888888888888</v>
      </c>
      <c r="G190" s="35" t="s">
        <v>670</v>
      </c>
    </row>
    <row r="191" spans="1:7" ht="27.6" x14ac:dyDescent="0.3">
      <c r="A191" s="34" t="s">
        <v>55</v>
      </c>
      <c r="B191" s="31" t="s">
        <v>45</v>
      </c>
      <c r="C191" s="31" t="s">
        <v>675</v>
      </c>
      <c r="D191" s="33">
        <v>800</v>
      </c>
      <c r="E191" s="33">
        <v>350</v>
      </c>
      <c r="F191" s="32">
        <f t="shared" si="2"/>
        <v>0.4375</v>
      </c>
      <c r="G191" s="31" t="s">
        <v>670</v>
      </c>
    </row>
    <row r="192" spans="1:7" ht="27.6" x14ac:dyDescent="0.3">
      <c r="A192" s="38" t="s">
        <v>55</v>
      </c>
      <c r="B192" s="35" t="s">
        <v>22</v>
      </c>
      <c r="C192" s="35" t="s">
        <v>674</v>
      </c>
      <c r="D192" s="37">
        <v>35000</v>
      </c>
      <c r="E192" s="37">
        <v>9800</v>
      </c>
      <c r="F192" s="36">
        <f t="shared" si="2"/>
        <v>0.28000000000000003</v>
      </c>
      <c r="G192" s="35" t="s">
        <v>670</v>
      </c>
    </row>
    <row r="193" spans="1:7" ht="27.6" x14ac:dyDescent="0.3">
      <c r="A193" s="34" t="s">
        <v>55</v>
      </c>
      <c r="B193" s="31" t="s">
        <v>46</v>
      </c>
      <c r="C193" s="31" t="s">
        <v>673</v>
      </c>
      <c r="D193" s="33">
        <v>1200</v>
      </c>
      <c r="E193" s="33">
        <v>270</v>
      </c>
      <c r="F193" s="32">
        <f t="shared" si="2"/>
        <v>0.22500000000000001</v>
      </c>
      <c r="G193" s="31" t="s">
        <v>670</v>
      </c>
    </row>
    <row r="194" spans="1:7" ht="27.6" x14ac:dyDescent="0.3">
      <c r="A194" s="38" t="s">
        <v>55</v>
      </c>
      <c r="B194" s="35" t="s">
        <v>47</v>
      </c>
      <c r="C194" s="35" t="s">
        <v>672</v>
      </c>
      <c r="D194" s="37">
        <v>3000</v>
      </c>
      <c r="E194" s="37">
        <v>420</v>
      </c>
      <c r="F194" s="36">
        <f t="shared" si="2"/>
        <v>0.14000000000000001</v>
      </c>
      <c r="G194" s="35" t="s">
        <v>670</v>
      </c>
    </row>
    <row r="195" spans="1:7" ht="27.6" x14ac:dyDescent="0.3">
      <c r="A195" s="34" t="s">
        <v>55</v>
      </c>
      <c r="B195" s="31" t="s">
        <v>48</v>
      </c>
      <c r="C195" s="31" t="s">
        <v>671</v>
      </c>
      <c r="D195" s="33">
        <v>2200</v>
      </c>
      <c r="E195" s="33">
        <v>700</v>
      </c>
      <c r="F195" s="32">
        <f t="shared" si="2"/>
        <v>0.31818181818181818</v>
      </c>
      <c r="G195" s="31" t="s">
        <v>670</v>
      </c>
    </row>
    <row r="196" spans="1:7" ht="27.6" x14ac:dyDescent="0.3">
      <c r="A196" s="38" t="s">
        <v>56</v>
      </c>
      <c r="B196" s="35" t="s">
        <v>12</v>
      </c>
      <c r="C196" s="35" t="s">
        <v>676</v>
      </c>
      <c r="D196" s="37">
        <v>150000</v>
      </c>
      <c r="E196" s="37">
        <v>86000</v>
      </c>
      <c r="F196" s="36">
        <f t="shared" ref="F196:F259" si="3">E196/D196</f>
        <v>0.57333333333333336</v>
      </c>
      <c r="G196" s="35" t="s">
        <v>670</v>
      </c>
    </row>
    <row r="197" spans="1:7" ht="27.6" x14ac:dyDescent="0.3">
      <c r="A197" s="34" t="s">
        <v>56</v>
      </c>
      <c r="B197" s="31" t="s">
        <v>12</v>
      </c>
      <c r="C197" s="31" t="s">
        <v>681</v>
      </c>
      <c r="D197" s="33">
        <v>234000</v>
      </c>
      <c r="E197" s="33">
        <v>52000</v>
      </c>
      <c r="F197" s="32">
        <f t="shared" si="3"/>
        <v>0.22222222222222221</v>
      </c>
      <c r="G197" s="31" t="s">
        <v>670</v>
      </c>
    </row>
    <row r="198" spans="1:7" ht="27.6" x14ac:dyDescent="0.3">
      <c r="A198" s="38" t="s">
        <v>56</v>
      </c>
      <c r="B198" s="35" t="s">
        <v>12</v>
      </c>
      <c r="C198" s="35" t="s">
        <v>679</v>
      </c>
      <c r="D198" s="37">
        <v>180000</v>
      </c>
      <c r="E198" s="37">
        <v>131000</v>
      </c>
      <c r="F198" s="36">
        <f t="shared" si="3"/>
        <v>0.72777777777777775</v>
      </c>
      <c r="G198" s="35" t="s">
        <v>670</v>
      </c>
    </row>
    <row r="199" spans="1:7" ht="27.6" x14ac:dyDescent="0.3">
      <c r="A199" s="34" t="s">
        <v>56</v>
      </c>
      <c r="B199" s="31" t="s">
        <v>14</v>
      </c>
      <c r="C199" s="31" t="s">
        <v>686</v>
      </c>
      <c r="D199" s="33">
        <v>8500</v>
      </c>
      <c r="E199" s="33">
        <v>1680</v>
      </c>
      <c r="F199" s="32">
        <f t="shared" si="3"/>
        <v>0.1976470588235294</v>
      </c>
      <c r="G199" s="31" t="s">
        <v>670</v>
      </c>
    </row>
    <row r="200" spans="1:7" ht="27.6" x14ac:dyDescent="0.3">
      <c r="A200" s="38" t="s">
        <v>56</v>
      </c>
      <c r="B200" s="35" t="s">
        <v>14</v>
      </c>
      <c r="C200" s="35" t="s">
        <v>679</v>
      </c>
      <c r="D200" s="37">
        <v>3200</v>
      </c>
      <c r="E200" s="37">
        <v>2250</v>
      </c>
      <c r="F200" s="36">
        <f t="shared" si="3"/>
        <v>0.703125</v>
      </c>
      <c r="G200" s="35" t="s">
        <v>670</v>
      </c>
    </row>
    <row r="201" spans="1:7" ht="27.6" x14ac:dyDescent="0.3">
      <c r="A201" s="34" t="s">
        <v>56</v>
      </c>
      <c r="B201" s="31" t="s">
        <v>15</v>
      </c>
      <c r="C201" s="31" t="s">
        <v>685</v>
      </c>
      <c r="D201" s="33">
        <v>100000</v>
      </c>
      <c r="E201" s="33">
        <v>46800</v>
      </c>
      <c r="F201" s="32">
        <f t="shared" si="3"/>
        <v>0.46800000000000003</v>
      </c>
      <c r="G201" s="31" t="s">
        <v>670</v>
      </c>
    </row>
    <row r="202" spans="1:7" ht="27.6" x14ac:dyDescent="0.3">
      <c r="A202" s="38" t="s">
        <v>56</v>
      </c>
      <c r="B202" s="35" t="s">
        <v>15</v>
      </c>
      <c r="C202" s="35" t="s">
        <v>679</v>
      </c>
      <c r="D202" s="37">
        <v>75000</v>
      </c>
      <c r="E202" s="37">
        <v>59500</v>
      </c>
      <c r="F202" s="36">
        <f t="shared" si="3"/>
        <v>0.79333333333333333</v>
      </c>
      <c r="G202" s="35" t="s">
        <v>670</v>
      </c>
    </row>
    <row r="203" spans="1:7" ht="27.6" x14ac:dyDescent="0.3">
      <c r="A203" s="34" t="s">
        <v>56</v>
      </c>
      <c r="B203" s="31" t="s">
        <v>16</v>
      </c>
      <c r="C203" s="31" t="s">
        <v>684</v>
      </c>
      <c r="D203" s="33">
        <v>46000</v>
      </c>
      <c r="E203" s="33">
        <v>22600</v>
      </c>
      <c r="F203" s="32">
        <f t="shared" si="3"/>
        <v>0.49130434782608695</v>
      </c>
      <c r="G203" s="31" t="s">
        <v>670</v>
      </c>
    </row>
    <row r="204" spans="1:7" ht="27.6" x14ac:dyDescent="0.3">
      <c r="A204" s="38" t="s">
        <v>56</v>
      </c>
      <c r="B204" s="35" t="s">
        <v>16</v>
      </c>
      <c r="C204" s="35" t="s">
        <v>679</v>
      </c>
      <c r="D204" s="37">
        <v>92000</v>
      </c>
      <c r="E204" s="37">
        <v>78000</v>
      </c>
      <c r="F204" s="36">
        <f t="shared" si="3"/>
        <v>0.84782608695652173</v>
      </c>
      <c r="G204" s="35" t="s">
        <v>670</v>
      </c>
    </row>
    <row r="205" spans="1:7" ht="27.6" x14ac:dyDescent="0.3">
      <c r="A205" s="34" t="s">
        <v>56</v>
      </c>
      <c r="B205" s="31" t="s">
        <v>17</v>
      </c>
      <c r="C205" s="31" t="s">
        <v>681</v>
      </c>
      <c r="D205" s="33">
        <v>84000</v>
      </c>
      <c r="E205" s="33">
        <v>35200</v>
      </c>
      <c r="F205" s="32">
        <f t="shared" si="3"/>
        <v>0.41904761904761906</v>
      </c>
      <c r="G205" s="31" t="s">
        <v>670</v>
      </c>
    </row>
    <row r="206" spans="1:7" ht="27.6" x14ac:dyDescent="0.3">
      <c r="A206" s="38" t="s">
        <v>56</v>
      </c>
      <c r="B206" s="35" t="s">
        <v>17</v>
      </c>
      <c r="C206" s="35" t="s">
        <v>679</v>
      </c>
      <c r="D206" s="37">
        <v>110000</v>
      </c>
      <c r="E206" s="37">
        <v>92500</v>
      </c>
      <c r="F206" s="36">
        <f t="shared" si="3"/>
        <v>0.84090909090909094</v>
      </c>
      <c r="G206" s="35" t="s">
        <v>670</v>
      </c>
    </row>
    <row r="207" spans="1:7" ht="27.6" x14ac:dyDescent="0.3">
      <c r="A207" s="34" t="s">
        <v>56</v>
      </c>
      <c r="B207" s="31" t="s">
        <v>18</v>
      </c>
      <c r="C207" s="31" t="s">
        <v>676</v>
      </c>
      <c r="D207" s="33">
        <v>12000</v>
      </c>
      <c r="E207" s="33">
        <v>3550</v>
      </c>
      <c r="F207" s="32">
        <f t="shared" si="3"/>
        <v>0.29583333333333334</v>
      </c>
      <c r="G207" s="31" t="s">
        <v>670</v>
      </c>
    </row>
    <row r="208" spans="1:7" ht="27.6" x14ac:dyDescent="0.3">
      <c r="A208" s="38" t="s">
        <v>56</v>
      </c>
      <c r="B208" s="35" t="s">
        <v>18</v>
      </c>
      <c r="C208" s="35" t="s">
        <v>681</v>
      </c>
      <c r="D208" s="37">
        <v>3500</v>
      </c>
      <c r="E208" s="37">
        <v>1080</v>
      </c>
      <c r="F208" s="36">
        <f t="shared" si="3"/>
        <v>0.30857142857142855</v>
      </c>
      <c r="G208" s="35" t="s">
        <v>670</v>
      </c>
    </row>
    <row r="209" spans="1:7" ht="27.6" x14ac:dyDescent="0.3">
      <c r="A209" s="34" t="s">
        <v>56</v>
      </c>
      <c r="B209" s="31" t="s">
        <v>19</v>
      </c>
      <c r="C209" s="31" t="s">
        <v>676</v>
      </c>
      <c r="D209" s="33">
        <v>376000</v>
      </c>
      <c r="E209" s="33">
        <v>13800</v>
      </c>
      <c r="F209" s="32">
        <f t="shared" si="3"/>
        <v>3.6702127659574466E-2</v>
      </c>
      <c r="G209" s="31" t="s">
        <v>670</v>
      </c>
    </row>
    <row r="210" spans="1:7" ht="27.6" x14ac:dyDescent="0.3">
      <c r="A210" s="38" t="s">
        <v>56</v>
      </c>
      <c r="B210" s="35" t="s">
        <v>19</v>
      </c>
      <c r="C210" s="35" t="s">
        <v>681</v>
      </c>
      <c r="D210" s="37">
        <v>285000</v>
      </c>
      <c r="E210" s="37">
        <v>45000</v>
      </c>
      <c r="F210" s="36">
        <f t="shared" si="3"/>
        <v>0.15789473684210525</v>
      </c>
      <c r="G210" s="35" t="s">
        <v>670</v>
      </c>
    </row>
    <row r="211" spans="1:7" ht="27.6" x14ac:dyDescent="0.3">
      <c r="A211" s="34" t="s">
        <v>56</v>
      </c>
      <c r="B211" s="31" t="s">
        <v>19</v>
      </c>
      <c r="C211" s="31" t="s">
        <v>679</v>
      </c>
      <c r="D211" s="33">
        <v>45000</v>
      </c>
      <c r="E211" s="33">
        <v>30800</v>
      </c>
      <c r="F211" s="32">
        <f t="shared" si="3"/>
        <v>0.68444444444444441</v>
      </c>
      <c r="G211" s="31" t="s">
        <v>670</v>
      </c>
    </row>
    <row r="212" spans="1:7" ht="27.6" x14ac:dyDescent="0.3">
      <c r="A212" s="38" t="s">
        <v>56</v>
      </c>
      <c r="B212" s="35" t="s">
        <v>20</v>
      </c>
      <c r="C212" s="35" t="s">
        <v>53</v>
      </c>
      <c r="D212" s="37">
        <v>20000</v>
      </c>
      <c r="E212" s="37">
        <v>4900</v>
      </c>
      <c r="F212" s="36">
        <f t="shared" si="3"/>
        <v>0.245</v>
      </c>
      <c r="G212" s="35" t="s">
        <v>670</v>
      </c>
    </row>
    <row r="213" spans="1:7" ht="27.6" x14ac:dyDescent="0.3">
      <c r="A213" s="34" t="s">
        <v>56</v>
      </c>
      <c r="B213" s="31" t="s">
        <v>20</v>
      </c>
      <c r="C213" s="31" t="s">
        <v>679</v>
      </c>
      <c r="D213" s="33">
        <v>18500</v>
      </c>
      <c r="E213" s="33">
        <v>14700</v>
      </c>
      <c r="F213" s="32">
        <f t="shared" si="3"/>
        <v>0.79459459459459458</v>
      </c>
      <c r="G213" s="31" t="s">
        <v>670</v>
      </c>
    </row>
    <row r="214" spans="1:7" ht="27.6" x14ac:dyDescent="0.3">
      <c r="A214" s="38" t="s">
        <v>56</v>
      </c>
      <c r="B214" s="35" t="s">
        <v>21</v>
      </c>
      <c r="C214" s="35" t="s">
        <v>681</v>
      </c>
      <c r="D214" s="37">
        <v>42000</v>
      </c>
      <c r="E214" s="37">
        <v>16200</v>
      </c>
      <c r="F214" s="36">
        <f t="shared" si="3"/>
        <v>0.38571428571428573</v>
      </c>
      <c r="G214" s="35" t="s">
        <v>670</v>
      </c>
    </row>
    <row r="215" spans="1:7" ht="27.6" x14ac:dyDescent="0.3">
      <c r="A215" s="34" t="s">
        <v>56</v>
      </c>
      <c r="B215" s="31" t="s">
        <v>21</v>
      </c>
      <c r="C215" s="31" t="s">
        <v>682</v>
      </c>
      <c r="D215" s="33">
        <v>2500</v>
      </c>
      <c r="E215" s="33">
        <v>1040</v>
      </c>
      <c r="F215" s="32">
        <f t="shared" si="3"/>
        <v>0.41599999999999998</v>
      </c>
      <c r="G215" s="31" t="s">
        <v>670</v>
      </c>
    </row>
    <row r="216" spans="1:7" ht="27.6" x14ac:dyDescent="0.3">
      <c r="A216" s="38" t="s">
        <v>56</v>
      </c>
      <c r="B216" s="35" t="s">
        <v>23</v>
      </c>
      <c r="C216" s="35" t="s">
        <v>681</v>
      </c>
      <c r="D216" s="37">
        <v>115000</v>
      </c>
      <c r="E216" s="37">
        <v>35800</v>
      </c>
      <c r="F216" s="36">
        <f t="shared" si="3"/>
        <v>0.31130434782608696</v>
      </c>
      <c r="G216" s="35" t="s">
        <v>670</v>
      </c>
    </row>
    <row r="217" spans="1:7" ht="27.6" x14ac:dyDescent="0.3">
      <c r="A217" s="34" t="s">
        <v>56</v>
      </c>
      <c r="B217" s="31" t="s">
        <v>23</v>
      </c>
      <c r="C217" s="31" t="s">
        <v>679</v>
      </c>
      <c r="D217" s="33">
        <v>38000</v>
      </c>
      <c r="E217" s="33">
        <v>28600</v>
      </c>
      <c r="F217" s="32">
        <f t="shared" si="3"/>
        <v>0.75263157894736843</v>
      </c>
      <c r="G217" s="31" t="s">
        <v>670</v>
      </c>
    </row>
    <row r="218" spans="1:7" ht="27.6" x14ac:dyDescent="0.3">
      <c r="A218" s="38" t="s">
        <v>56</v>
      </c>
      <c r="B218" s="35" t="s">
        <v>24</v>
      </c>
      <c r="C218" s="35" t="s">
        <v>676</v>
      </c>
      <c r="D218" s="37">
        <v>8000</v>
      </c>
      <c r="E218" s="37">
        <v>2280</v>
      </c>
      <c r="F218" s="36">
        <f t="shared" si="3"/>
        <v>0.28499999999999998</v>
      </c>
      <c r="G218" s="35" t="s">
        <v>670</v>
      </c>
    </row>
    <row r="219" spans="1:7" ht="27.6" x14ac:dyDescent="0.3">
      <c r="A219" s="34" t="s">
        <v>56</v>
      </c>
      <c r="B219" s="31" t="s">
        <v>24</v>
      </c>
      <c r="C219" s="31" t="s">
        <v>681</v>
      </c>
      <c r="D219" s="33">
        <v>220000</v>
      </c>
      <c r="E219" s="33">
        <v>46500</v>
      </c>
      <c r="F219" s="32">
        <f t="shared" si="3"/>
        <v>0.21136363636363636</v>
      </c>
      <c r="G219" s="31" t="s">
        <v>670</v>
      </c>
    </row>
    <row r="220" spans="1:7" ht="27.6" x14ac:dyDescent="0.3">
      <c r="A220" s="38" t="s">
        <v>56</v>
      </c>
      <c r="B220" s="35" t="s">
        <v>24</v>
      </c>
      <c r="C220" s="35" t="s">
        <v>679</v>
      </c>
      <c r="D220" s="37">
        <v>145000</v>
      </c>
      <c r="E220" s="37">
        <v>100000</v>
      </c>
      <c r="F220" s="36">
        <f t="shared" si="3"/>
        <v>0.68965517241379315</v>
      </c>
      <c r="G220" s="35" t="s">
        <v>670</v>
      </c>
    </row>
    <row r="221" spans="1:7" ht="27.6" x14ac:dyDescent="0.3">
      <c r="A221" s="34" t="s">
        <v>56</v>
      </c>
      <c r="B221" s="31" t="s">
        <v>25</v>
      </c>
      <c r="C221" s="31" t="s">
        <v>676</v>
      </c>
      <c r="D221" s="33">
        <v>65000</v>
      </c>
      <c r="E221" s="33">
        <v>14200</v>
      </c>
      <c r="F221" s="32">
        <f t="shared" si="3"/>
        <v>0.21846153846153846</v>
      </c>
      <c r="G221" s="31" t="s">
        <v>670</v>
      </c>
    </row>
    <row r="222" spans="1:7" ht="27.6" x14ac:dyDescent="0.3">
      <c r="A222" s="38" t="s">
        <v>56</v>
      </c>
      <c r="B222" s="35" t="s">
        <v>25</v>
      </c>
      <c r="C222" s="35" t="s">
        <v>681</v>
      </c>
      <c r="D222" s="37">
        <v>33000</v>
      </c>
      <c r="E222" s="37">
        <v>8400</v>
      </c>
      <c r="F222" s="36">
        <f t="shared" si="3"/>
        <v>0.25454545454545452</v>
      </c>
      <c r="G222" s="35" t="s">
        <v>670</v>
      </c>
    </row>
    <row r="223" spans="1:7" ht="27.6" x14ac:dyDescent="0.3">
      <c r="A223" s="34" t="s">
        <v>56</v>
      </c>
      <c r="B223" s="31" t="s">
        <v>25</v>
      </c>
      <c r="C223" s="31" t="s">
        <v>679</v>
      </c>
      <c r="D223" s="33">
        <v>28000</v>
      </c>
      <c r="E223" s="33">
        <v>18800</v>
      </c>
      <c r="F223" s="32">
        <f t="shared" si="3"/>
        <v>0.67142857142857137</v>
      </c>
      <c r="G223" s="31" t="s">
        <v>670</v>
      </c>
    </row>
    <row r="224" spans="1:7" ht="27.6" x14ac:dyDescent="0.3">
      <c r="A224" s="38" t="s">
        <v>56</v>
      </c>
      <c r="B224" s="35" t="s">
        <v>26</v>
      </c>
      <c r="C224" s="35" t="s">
        <v>681</v>
      </c>
      <c r="D224" s="37">
        <v>380000</v>
      </c>
      <c r="E224" s="37">
        <v>116000</v>
      </c>
      <c r="F224" s="36">
        <f t="shared" si="3"/>
        <v>0.30526315789473685</v>
      </c>
      <c r="G224" s="35" t="s">
        <v>670</v>
      </c>
    </row>
    <row r="225" spans="1:7" ht="27.6" x14ac:dyDescent="0.3">
      <c r="A225" s="34" t="s">
        <v>56</v>
      </c>
      <c r="B225" s="31" t="s">
        <v>26</v>
      </c>
      <c r="C225" s="31" t="s">
        <v>679</v>
      </c>
      <c r="D225" s="33">
        <v>160000</v>
      </c>
      <c r="E225" s="33">
        <v>134000</v>
      </c>
      <c r="F225" s="32">
        <f t="shared" si="3"/>
        <v>0.83750000000000002</v>
      </c>
      <c r="G225" s="31" t="s">
        <v>670</v>
      </c>
    </row>
    <row r="226" spans="1:7" ht="27.6" x14ac:dyDescent="0.3">
      <c r="A226" s="38" t="s">
        <v>56</v>
      </c>
      <c r="B226" s="35" t="s">
        <v>27</v>
      </c>
      <c r="C226" s="35" t="s">
        <v>676</v>
      </c>
      <c r="D226" s="37">
        <v>10000</v>
      </c>
      <c r="E226" s="37">
        <v>1800</v>
      </c>
      <c r="F226" s="36">
        <f t="shared" si="3"/>
        <v>0.18</v>
      </c>
      <c r="G226" s="35" t="s">
        <v>670</v>
      </c>
    </row>
    <row r="227" spans="1:7" ht="27.6" x14ac:dyDescent="0.3">
      <c r="A227" s="34" t="s">
        <v>56</v>
      </c>
      <c r="B227" s="31" t="s">
        <v>27</v>
      </c>
      <c r="C227" s="31" t="s">
        <v>681</v>
      </c>
      <c r="D227" s="33">
        <v>273000</v>
      </c>
      <c r="E227" s="33">
        <v>57500</v>
      </c>
      <c r="F227" s="32">
        <f t="shared" si="3"/>
        <v>0.21062271062271062</v>
      </c>
      <c r="G227" s="31" t="s">
        <v>670</v>
      </c>
    </row>
    <row r="228" spans="1:7" ht="27.6" x14ac:dyDescent="0.3">
      <c r="A228" s="38" t="s">
        <v>56</v>
      </c>
      <c r="B228" s="35" t="s">
        <v>27</v>
      </c>
      <c r="C228" s="35" t="s">
        <v>679</v>
      </c>
      <c r="D228" s="37">
        <v>82000</v>
      </c>
      <c r="E228" s="37">
        <v>58800</v>
      </c>
      <c r="F228" s="36">
        <f t="shared" si="3"/>
        <v>0.71707317073170729</v>
      </c>
      <c r="G228" s="35" t="s">
        <v>670</v>
      </c>
    </row>
    <row r="229" spans="1:7" ht="27.6" x14ac:dyDescent="0.3">
      <c r="A229" s="34" t="s">
        <v>56</v>
      </c>
      <c r="B229" s="31" t="s">
        <v>28</v>
      </c>
      <c r="C229" s="31" t="s">
        <v>677</v>
      </c>
      <c r="D229" s="33">
        <v>40000</v>
      </c>
      <c r="E229" s="33">
        <v>20700</v>
      </c>
      <c r="F229" s="32">
        <f t="shared" si="3"/>
        <v>0.51749999999999996</v>
      </c>
      <c r="G229" s="31" t="s">
        <v>670</v>
      </c>
    </row>
    <row r="230" spans="1:7" ht="27.6" x14ac:dyDescent="0.3">
      <c r="A230" s="38" t="s">
        <v>56</v>
      </c>
      <c r="B230" s="35" t="s">
        <v>29</v>
      </c>
      <c r="C230" s="35" t="s">
        <v>679</v>
      </c>
      <c r="D230" s="37">
        <v>12000</v>
      </c>
      <c r="E230" s="37">
        <v>7300</v>
      </c>
      <c r="F230" s="36">
        <f t="shared" si="3"/>
        <v>0.60833333333333328</v>
      </c>
      <c r="G230" s="35" t="s">
        <v>670</v>
      </c>
    </row>
    <row r="231" spans="1:7" ht="27.6" x14ac:dyDescent="0.3">
      <c r="A231" s="34" t="s">
        <v>56</v>
      </c>
      <c r="B231" s="31" t="s">
        <v>30</v>
      </c>
      <c r="C231" s="31" t="s">
        <v>679</v>
      </c>
      <c r="D231" s="33">
        <v>8500</v>
      </c>
      <c r="E231" s="33">
        <v>4580</v>
      </c>
      <c r="F231" s="32">
        <f t="shared" si="3"/>
        <v>0.5388235294117647</v>
      </c>
      <c r="G231" s="31" t="s">
        <v>670</v>
      </c>
    </row>
    <row r="232" spans="1:7" ht="27.6" x14ac:dyDescent="0.3">
      <c r="A232" s="38" t="s">
        <v>56</v>
      </c>
      <c r="B232" s="35" t="s">
        <v>31</v>
      </c>
      <c r="C232" s="35" t="s">
        <v>679</v>
      </c>
      <c r="D232" s="37">
        <v>9800</v>
      </c>
      <c r="E232" s="37">
        <v>5400</v>
      </c>
      <c r="F232" s="36">
        <f t="shared" si="3"/>
        <v>0.55102040816326525</v>
      </c>
      <c r="G232" s="35" t="s">
        <v>670</v>
      </c>
    </row>
    <row r="233" spans="1:7" ht="27.6" x14ac:dyDescent="0.3">
      <c r="A233" s="34" t="s">
        <v>56</v>
      </c>
      <c r="B233" s="31" t="s">
        <v>32</v>
      </c>
      <c r="C233" s="31" t="s">
        <v>676</v>
      </c>
      <c r="D233" s="33">
        <v>32000</v>
      </c>
      <c r="E233" s="33">
        <v>13700</v>
      </c>
      <c r="F233" s="32">
        <f t="shared" si="3"/>
        <v>0.42812499999999998</v>
      </c>
      <c r="G233" s="31" t="s">
        <v>670</v>
      </c>
    </row>
    <row r="234" spans="1:7" ht="27.6" x14ac:dyDescent="0.3">
      <c r="A234" s="38" t="s">
        <v>56</v>
      </c>
      <c r="B234" s="35" t="s">
        <v>32</v>
      </c>
      <c r="C234" s="35" t="s">
        <v>681</v>
      </c>
      <c r="D234" s="37">
        <v>260000</v>
      </c>
      <c r="E234" s="37">
        <v>65000</v>
      </c>
      <c r="F234" s="36">
        <f t="shared" si="3"/>
        <v>0.25</v>
      </c>
      <c r="G234" s="35" t="s">
        <v>670</v>
      </c>
    </row>
    <row r="235" spans="1:7" ht="27.6" x14ac:dyDescent="0.3">
      <c r="A235" s="34" t="s">
        <v>56</v>
      </c>
      <c r="B235" s="31" t="s">
        <v>32</v>
      </c>
      <c r="C235" s="31" t="s">
        <v>679</v>
      </c>
      <c r="D235" s="33">
        <v>125000</v>
      </c>
      <c r="E235" s="33">
        <v>101000</v>
      </c>
      <c r="F235" s="32">
        <f t="shared" si="3"/>
        <v>0.80800000000000005</v>
      </c>
      <c r="G235" s="31" t="s">
        <v>670</v>
      </c>
    </row>
    <row r="236" spans="1:7" ht="27.6" x14ac:dyDescent="0.3">
      <c r="A236" s="38" t="s">
        <v>56</v>
      </c>
      <c r="B236" s="35" t="s">
        <v>33</v>
      </c>
      <c r="C236" s="35" t="s">
        <v>53</v>
      </c>
      <c r="D236" s="37">
        <v>15000</v>
      </c>
      <c r="E236" s="37">
        <v>6100</v>
      </c>
      <c r="F236" s="36">
        <f t="shared" si="3"/>
        <v>0.40666666666666668</v>
      </c>
      <c r="G236" s="35" t="s">
        <v>670</v>
      </c>
    </row>
    <row r="237" spans="1:7" ht="27.6" x14ac:dyDescent="0.3">
      <c r="A237" s="34" t="s">
        <v>56</v>
      </c>
      <c r="B237" s="31" t="s">
        <v>33</v>
      </c>
      <c r="C237" s="31" t="s">
        <v>679</v>
      </c>
      <c r="D237" s="33">
        <v>14000</v>
      </c>
      <c r="E237" s="33">
        <v>11400</v>
      </c>
      <c r="F237" s="32">
        <f t="shared" si="3"/>
        <v>0.81428571428571428</v>
      </c>
      <c r="G237" s="31" t="s">
        <v>670</v>
      </c>
    </row>
    <row r="238" spans="1:7" ht="27.6" x14ac:dyDescent="0.3">
      <c r="A238" s="38" t="s">
        <v>56</v>
      </c>
      <c r="B238" s="35" t="s">
        <v>34</v>
      </c>
      <c r="C238" s="35" t="s">
        <v>683</v>
      </c>
      <c r="D238" s="37">
        <v>180000</v>
      </c>
      <c r="E238" s="37">
        <v>24000</v>
      </c>
      <c r="F238" s="36">
        <f t="shared" si="3"/>
        <v>0.13333333333333333</v>
      </c>
      <c r="G238" s="35" t="s">
        <v>670</v>
      </c>
    </row>
    <row r="239" spans="1:7" ht="27.6" x14ac:dyDescent="0.3">
      <c r="A239" s="34" t="s">
        <v>56</v>
      </c>
      <c r="B239" s="31" t="s">
        <v>34</v>
      </c>
      <c r="C239" s="31" t="s">
        <v>679</v>
      </c>
      <c r="D239" s="33">
        <v>35000</v>
      </c>
      <c r="E239" s="33">
        <v>24800</v>
      </c>
      <c r="F239" s="32">
        <f t="shared" si="3"/>
        <v>0.70857142857142852</v>
      </c>
      <c r="G239" s="31" t="s">
        <v>670</v>
      </c>
    </row>
    <row r="240" spans="1:7" ht="27.6" x14ac:dyDescent="0.3">
      <c r="A240" s="38" t="s">
        <v>56</v>
      </c>
      <c r="B240" s="35" t="s">
        <v>35</v>
      </c>
      <c r="C240" s="35" t="s">
        <v>682</v>
      </c>
      <c r="D240" s="37">
        <v>1800</v>
      </c>
      <c r="E240" s="37">
        <v>560</v>
      </c>
      <c r="F240" s="36">
        <f t="shared" si="3"/>
        <v>0.31111111111111112</v>
      </c>
      <c r="G240" s="35" t="s">
        <v>670</v>
      </c>
    </row>
    <row r="241" spans="1:7" ht="27.6" x14ac:dyDescent="0.3">
      <c r="A241" s="34" t="s">
        <v>56</v>
      </c>
      <c r="B241" s="31" t="s">
        <v>36</v>
      </c>
      <c r="C241" s="31" t="s">
        <v>676</v>
      </c>
      <c r="D241" s="33">
        <v>56000</v>
      </c>
      <c r="E241" s="33">
        <v>10600</v>
      </c>
      <c r="F241" s="32">
        <f t="shared" si="3"/>
        <v>0.18928571428571428</v>
      </c>
      <c r="G241" s="31" t="s">
        <v>670</v>
      </c>
    </row>
    <row r="242" spans="1:7" ht="27.6" x14ac:dyDescent="0.3">
      <c r="A242" s="38" t="s">
        <v>56</v>
      </c>
      <c r="B242" s="35" t="s">
        <v>36</v>
      </c>
      <c r="C242" s="35" t="s">
        <v>681</v>
      </c>
      <c r="D242" s="37">
        <v>62000</v>
      </c>
      <c r="E242" s="37">
        <v>22800</v>
      </c>
      <c r="F242" s="36">
        <f t="shared" si="3"/>
        <v>0.36774193548387096</v>
      </c>
      <c r="G242" s="35" t="s">
        <v>670</v>
      </c>
    </row>
    <row r="243" spans="1:7" ht="27.6" x14ac:dyDescent="0.3">
      <c r="A243" s="34" t="s">
        <v>56</v>
      </c>
      <c r="B243" s="31" t="s">
        <v>36</v>
      </c>
      <c r="C243" s="31" t="s">
        <v>679</v>
      </c>
      <c r="D243" s="33">
        <v>158000</v>
      </c>
      <c r="E243" s="33">
        <v>116000</v>
      </c>
      <c r="F243" s="32">
        <f t="shared" si="3"/>
        <v>0.73417721518987344</v>
      </c>
      <c r="G243" s="31" t="s">
        <v>670</v>
      </c>
    </row>
    <row r="244" spans="1:7" ht="27.6" x14ac:dyDescent="0.3">
      <c r="A244" s="38" t="s">
        <v>56</v>
      </c>
      <c r="B244" s="35" t="s">
        <v>37</v>
      </c>
      <c r="C244" s="35" t="s">
        <v>681</v>
      </c>
      <c r="D244" s="37">
        <v>195000</v>
      </c>
      <c r="E244" s="37">
        <v>72000</v>
      </c>
      <c r="F244" s="36">
        <f t="shared" si="3"/>
        <v>0.36923076923076925</v>
      </c>
      <c r="G244" s="35" t="s">
        <v>670</v>
      </c>
    </row>
    <row r="245" spans="1:7" ht="27.6" x14ac:dyDescent="0.3">
      <c r="A245" s="34" t="s">
        <v>56</v>
      </c>
      <c r="B245" s="31" t="s">
        <v>37</v>
      </c>
      <c r="C245" s="31" t="s">
        <v>679</v>
      </c>
      <c r="D245" s="33">
        <v>88000</v>
      </c>
      <c r="E245" s="33">
        <v>71500</v>
      </c>
      <c r="F245" s="32">
        <f t="shared" si="3"/>
        <v>0.8125</v>
      </c>
      <c r="G245" s="31" t="s">
        <v>670</v>
      </c>
    </row>
    <row r="246" spans="1:7" ht="27.6" x14ac:dyDescent="0.3">
      <c r="A246" s="38" t="s">
        <v>56</v>
      </c>
      <c r="B246" s="35" t="s">
        <v>38</v>
      </c>
      <c r="C246" s="35" t="s">
        <v>679</v>
      </c>
      <c r="D246" s="37">
        <v>28000</v>
      </c>
      <c r="E246" s="37">
        <v>20900</v>
      </c>
      <c r="F246" s="36">
        <f t="shared" si="3"/>
        <v>0.74642857142857144</v>
      </c>
      <c r="G246" s="35" t="s">
        <v>670</v>
      </c>
    </row>
    <row r="247" spans="1:7" ht="27.6" x14ac:dyDescent="0.3">
      <c r="A247" s="34" t="s">
        <v>56</v>
      </c>
      <c r="B247" s="31" t="s">
        <v>39</v>
      </c>
      <c r="C247" s="31" t="s">
        <v>681</v>
      </c>
      <c r="D247" s="33">
        <v>165000</v>
      </c>
      <c r="E247" s="33">
        <v>47500</v>
      </c>
      <c r="F247" s="32">
        <f t="shared" si="3"/>
        <v>0.2878787878787879</v>
      </c>
      <c r="G247" s="31" t="s">
        <v>670</v>
      </c>
    </row>
    <row r="248" spans="1:7" ht="27.6" x14ac:dyDescent="0.3">
      <c r="A248" s="38" t="s">
        <v>56</v>
      </c>
      <c r="B248" s="35" t="s">
        <v>39</v>
      </c>
      <c r="C248" s="35" t="s">
        <v>679</v>
      </c>
      <c r="D248" s="37">
        <v>285000</v>
      </c>
      <c r="E248" s="37">
        <v>235000</v>
      </c>
      <c r="F248" s="36">
        <f t="shared" si="3"/>
        <v>0.82456140350877194</v>
      </c>
      <c r="G248" s="35" t="s">
        <v>670</v>
      </c>
    </row>
    <row r="249" spans="1:7" ht="27.6" x14ac:dyDescent="0.3">
      <c r="A249" s="34" t="s">
        <v>56</v>
      </c>
      <c r="B249" s="31" t="s">
        <v>40</v>
      </c>
      <c r="C249" s="31" t="s">
        <v>680</v>
      </c>
      <c r="D249" s="33">
        <v>22000</v>
      </c>
      <c r="E249" s="33">
        <v>6700</v>
      </c>
      <c r="F249" s="32">
        <f t="shared" si="3"/>
        <v>0.30454545454545456</v>
      </c>
      <c r="G249" s="31" t="s">
        <v>670</v>
      </c>
    </row>
    <row r="250" spans="1:7" ht="27.6" x14ac:dyDescent="0.3">
      <c r="A250" s="38" t="s">
        <v>56</v>
      </c>
      <c r="B250" s="35" t="s">
        <v>41</v>
      </c>
      <c r="C250" s="35" t="s">
        <v>676</v>
      </c>
      <c r="D250" s="37">
        <v>210000</v>
      </c>
      <c r="E250" s="37">
        <v>70500</v>
      </c>
      <c r="F250" s="36">
        <f t="shared" si="3"/>
        <v>0.33571428571428569</v>
      </c>
      <c r="G250" s="35" t="s">
        <v>670</v>
      </c>
    </row>
    <row r="251" spans="1:7" ht="27.6" x14ac:dyDescent="0.3">
      <c r="A251" s="34" t="s">
        <v>56</v>
      </c>
      <c r="B251" s="31" t="s">
        <v>41</v>
      </c>
      <c r="C251" s="31" t="s">
        <v>679</v>
      </c>
      <c r="D251" s="33">
        <v>290000</v>
      </c>
      <c r="E251" s="33">
        <v>256000</v>
      </c>
      <c r="F251" s="32">
        <f t="shared" si="3"/>
        <v>0.88275862068965516</v>
      </c>
      <c r="G251" s="31" t="s">
        <v>670</v>
      </c>
    </row>
    <row r="252" spans="1:7" ht="27.6" x14ac:dyDescent="0.3">
      <c r="A252" s="38" t="s">
        <v>56</v>
      </c>
      <c r="B252" s="35" t="s">
        <v>42</v>
      </c>
      <c r="C252" s="35" t="s">
        <v>678</v>
      </c>
      <c r="D252" s="37">
        <v>5000</v>
      </c>
      <c r="E252" s="37">
        <v>550</v>
      </c>
      <c r="F252" s="36">
        <f t="shared" si="3"/>
        <v>0.11</v>
      </c>
      <c r="G252" s="35" t="s">
        <v>670</v>
      </c>
    </row>
    <row r="253" spans="1:7" ht="27.6" x14ac:dyDescent="0.3">
      <c r="A253" s="34" t="s">
        <v>56</v>
      </c>
      <c r="B253" s="31" t="s">
        <v>43</v>
      </c>
      <c r="C253" s="31" t="s">
        <v>677</v>
      </c>
      <c r="D253" s="33">
        <v>250</v>
      </c>
      <c r="E253" s="33">
        <v>125</v>
      </c>
      <c r="F253" s="32">
        <f t="shared" si="3"/>
        <v>0.5</v>
      </c>
      <c r="G253" s="31" t="s">
        <v>670</v>
      </c>
    </row>
    <row r="254" spans="1:7" ht="27.6" x14ac:dyDescent="0.3">
      <c r="A254" s="38" t="s">
        <v>56</v>
      </c>
      <c r="B254" s="35" t="s">
        <v>44</v>
      </c>
      <c r="C254" s="35" t="s">
        <v>676</v>
      </c>
      <c r="D254" s="37">
        <v>1800</v>
      </c>
      <c r="E254" s="37">
        <v>380</v>
      </c>
      <c r="F254" s="36">
        <f t="shared" si="3"/>
        <v>0.21111111111111111</v>
      </c>
      <c r="G254" s="35" t="s">
        <v>670</v>
      </c>
    </row>
    <row r="255" spans="1:7" ht="27.6" x14ac:dyDescent="0.3">
      <c r="A255" s="34" t="s">
        <v>56</v>
      </c>
      <c r="B255" s="31" t="s">
        <v>45</v>
      </c>
      <c r="C255" s="31" t="s">
        <v>675</v>
      </c>
      <c r="D255" s="33">
        <v>800</v>
      </c>
      <c r="E255" s="33">
        <v>365</v>
      </c>
      <c r="F255" s="32">
        <f t="shared" si="3"/>
        <v>0.45624999999999999</v>
      </c>
      <c r="G255" s="31" t="s">
        <v>670</v>
      </c>
    </row>
    <row r="256" spans="1:7" ht="27.6" x14ac:dyDescent="0.3">
      <c r="A256" s="38" t="s">
        <v>56</v>
      </c>
      <c r="B256" s="35" t="s">
        <v>22</v>
      </c>
      <c r="C256" s="35" t="s">
        <v>674</v>
      </c>
      <c r="D256" s="37">
        <v>35000</v>
      </c>
      <c r="E256" s="37">
        <v>10500</v>
      </c>
      <c r="F256" s="36">
        <f t="shared" si="3"/>
        <v>0.3</v>
      </c>
      <c r="G256" s="35" t="s">
        <v>670</v>
      </c>
    </row>
    <row r="257" spans="1:7" ht="27.6" x14ac:dyDescent="0.3">
      <c r="A257" s="34" t="s">
        <v>56</v>
      </c>
      <c r="B257" s="31" t="s">
        <v>46</v>
      </c>
      <c r="C257" s="31" t="s">
        <v>673</v>
      </c>
      <c r="D257" s="33">
        <v>1200</v>
      </c>
      <c r="E257" s="33">
        <v>310</v>
      </c>
      <c r="F257" s="32">
        <f t="shared" si="3"/>
        <v>0.25833333333333336</v>
      </c>
      <c r="G257" s="31" t="s">
        <v>670</v>
      </c>
    </row>
    <row r="258" spans="1:7" ht="27.6" x14ac:dyDescent="0.3">
      <c r="A258" s="38" t="s">
        <v>56</v>
      </c>
      <c r="B258" s="35" t="s">
        <v>47</v>
      </c>
      <c r="C258" s="35" t="s">
        <v>672</v>
      </c>
      <c r="D258" s="37">
        <v>3000</v>
      </c>
      <c r="E258" s="37">
        <v>460</v>
      </c>
      <c r="F258" s="36">
        <f t="shared" si="3"/>
        <v>0.15333333333333332</v>
      </c>
      <c r="G258" s="35" t="s">
        <v>670</v>
      </c>
    </row>
    <row r="259" spans="1:7" ht="27.6" x14ac:dyDescent="0.3">
      <c r="A259" s="34" t="s">
        <v>56</v>
      </c>
      <c r="B259" s="31" t="s">
        <v>48</v>
      </c>
      <c r="C259" s="31" t="s">
        <v>671</v>
      </c>
      <c r="D259" s="33">
        <v>2200</v>
      </c>
      <c r="E259" s="33">
        <v>750</v>
      </c>
      <c r="F259" s="32">
        <f t="shared" si="3"/>
        <v>0.34090909090909088</v>
      </c>
      <c r="G259" s="31" t="s">
        <v>670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0"/>
  <sheetViews>
    <sheetView zoomScale="61" zoomScaleNormal="70" workbookViewId="0">
      <pane ySplit="4" topLeftCell="A299" activePane="bottomLeft" state="frozen"/>
      <selection pane="bottomLeft" activeCell="D10" sqref="D10"/>
    </sheetView>
  </sheetViews>
  <sheetFormatPr defaultColWidth="8.6640625" defaultRowHeight="14.4" x14ac:dyDescent="0.3"/>
  <cols>
    <col min="1" max="1" width="12" customWidth="1"/>
    <col min="2" max="2" width="24" customWidth="1"/>
    <col min="3" max="3" width="26" customWidth="1"/>
    <col min="4" max="6" width="20" customWidth="1"/>
    <col min="7" max="7" width="50" customWidth="1"/>
    <col min="8" max="8" width="28" customWidth="1"/>
    <col min="9" max="9" width="60" customWidth="1"/>
  </cols>
  <sheetData>
    <row r="1" spans="1:9" ht="18" customHeight="1" x14ac:dyDescent="0.35">
      <c r="A1" s="13" t="s">
        <v>58</v>
      </c>
    </row>
    <row r="2" spans="1:9" x14ac:dyDescent="0.3">
      <c r="A2" s="14" t="s">
        <v>59</v>
      </c>
    </row>
    <row r="4" spans="1:9" ht="27.75" customHeight="1" x14ac:dyDescent="0.3">
      <c r="A4" s="15" t="s">
        <v>51</v>
      </c>
      <c r="B4" s="15" t="s">
        <v>60</v>
      </c>
      <c r="C4" s="15" t="s">
        <v>61</v>
      </c>
      <c r="D4" s="15" t="s">
        <v>62</v>
      </c>
      <c r="E4" s="15" t="s">
        <v>63</v>
      </c>
      <c r="F4" s="15" t="s">
        <v>64</v>
      </c>
      <c r="G4" s="15" t="s">
        <v>0</v>
      </c>
      <c r="H4" s="15" t="s">
        <v>65</v>
      </c>
      <c r="I4" s="15" t="s">
        <v>66</v>
      </c>
    </row>
    <row r="5" spans="1:9" ht="27.75" customHeight="1" x14ac:dyDescent="0.3">
      <c r="A5" s="16" t="s">
        <v>67</v>
      </c>
      <c r="B5" s="17" t="s">
        <v>12</v>
      </c>
      <c r="C5" s="17" t="s">
        <v>57</v>
      </c>
      <c r="D5" s="17" t="s">
        <v>68</v>
      </c>
      <c r="E5" s="17" t="s">
        <v>69</v>
      </c>
      <c r="F5" s="16">
        <v>3</v>
      </c>
      <c r="G5" s="17" t="s">
        <v>70</v>
      </c>
      <c r="H5" s="17" t="s">
        <v>71</v>
      </c>
      <c r="I5" s="17" t="s">
        <v>72</v>
      </c>
    </row>
    <row r="6" spans="1:9" ht="27.75" customHeight="1" x14ac:dyDescent="0.3">
      <c r="A6" s="18" t="s">
        <v>67</v>
      </c>
      <c r="B6" s="19" t="s">
        <v>12</v>
      </c>
      <c r="C6" s="19" t="s">
        <v>57</v>
      </c>
      <c r="D6" s="19" t="s">
        <v>73</v>
      </c>
      <c r="E6" s="19" t="s">
        <v>74</v>
      </c>
      <c r="F6" s="18">
        <v>2.5</v>
      </c>
      <c r="G6" s="19" t="s">
        <v>75</v>
      </c>
      <c r="H6" s="19" t="s">
        <v>71</v>
      </c>
      <c r="I6" s="19" t="s">
        <v>76</v>
      </c>
    </row>
    <row r="7" spans="1:9" ht="27.75" customHeight="1" x14ac:dyDescent="0.3">
      <c r="A7" s="16" t="s">
        <v>67</v>
      </c>
      <c r="B7" s="17" t="s">
        <v>12</v>
      </c>
      <c r="C7" s="17" t="s">
        <v>57</v>
      </c>
      <c r="D7" s="17" t="s">
        <v>77</v>
      </c>
      <c r="E7" s="17" t="s">
        <v>69</v>
      </c>
      <c r="F7" s="16">
        <v>3</v>
      </c>
      <c r="G7" s="17" t="s">
        <v>78</v>
      </c>
      <c r="H7" s="17" t="s">
        <v>71</v>
      </c>
      <c r="I7" s="17" t="s">
        <v>79</v>
      </c>
    </row>
    <row r="8" spans="1:9" ht="27.75" customHeight="1" x14ac:dyDescent="0.3">
      <c r="A8" s="18" t="s">
        <v>67</v>
      </c>
      <c r="B8" s="19" t="s">
        <v>12</v>
      </c>
      <c r="C8" s="19" t="s">
        <v>57</v>
      </c>
      <c r="D8" s="19" t="s">
        <v>80</v>
      </c>
      <c r="E8" s="19" t="s">
        <v>69</v>
      </c>
      <c r="F8" s="18">
        <v>3</v>
      </c>
      <c r="G8" s="19" t="s">
        <v>81</v>
      </c>
      <c r="H8" s="19" t="s">
        <v>71</v>
      </c>
      <c r="I8" s="19" t="s">
        <v>82</v>
      </c>
    </row>
    <row r="9" spans="1:9" ht="27.75" customHeight="1" x14ac:dyDescent="0.3">
      <c r="A9" s="16" t="s">
        <v>67</v>
      </c>
      <c r="B9" s="17" t="s">
        <v>14</v>
      </c>
      <c r="C9" s="17" t="s">
        <v>83</v>
      </c>
      <c r="D9" s="17" t="s">
        <v>68</v>
      </c>
      <c r="E9" s="17" t="s">
        <v>69</v>
      </c>
      <c r="F9" s="16">
        <v>3</v>
      </c>
      <c r="G9" s="17" t="s">
        <v>84</v>
      </c>
      <c r="H9" s="17" t="s">
        <v>85</v>
      </c>
      <c r="I9" s="17" t="s">
        <v>86</v>
      </c>
    </row>
    <row r="10" spans="1:9" ht="27.75" customHeight="1" x14ac:dyDescent="0.3">
      <c r="A10" s="18" t="s">
        <v>67</v>
      </c>
      <c r="B10" s="19" t="s">
        <v>14</v>
      </c>
      <c r="C10" s="19" t="s">
        <v>83</v>
      </c>
      <c r="D10" s="19" t="s">
        <v>73</v>
      </c>
      <c r="E10" s="19" t="s">
        <v>87</v>
      </c>
      <c r="F10" s="18">
        <v>1</v>
      </c>
      <c r="G10" s="19" t="s">
        <v>88</v>
      </c>
      <c r="H10" s="19" t="s">
        <v>85</v>
      </c>
      <c r="I10" s="19" t="s">
        <v>89</v>
      </c>
    </row>
    <row r="11" spans="1:9" ht="27.75" customHeight="1" x14ac:dyDescent="0.3">
      <c r="A11" s="16" t="s">
        <v>67</v>
      </c>
      <c r="B11" s="17" t="s">
        <v>14</v>
      </c>
      <c r="C11" s="17" t="s">
        <v>83</v>
      </c>
      <c r="D11" s="17" t="s">
        <v>77</v>
      </c>
      <c r="E11" s="17" t="s">
        <v>90</v>
      </c>
      <c r="F11" s="16">
        <v>2</v>
      </c>
      <c r="G11" s="17" t="s">
        <v>91</v>
      </c>
      <c r="H11" s="17" t="s">
        <v>85</v>
      </c>
      <c r="I11" s="17" t="s">
        <v>92</v>
      </c>
    </row>
    <row r="12" spans="1:9" ht="27.75" customHeight="1" x14ac:dyDescent="0.3">
      <c r="A12" s="18" t="s">
        <v>67</v>
      </c>
      <c r="B12" s="19" t="s">
        <v>14</v>
      </c>
      <c r="C12" s="19" t="s">
        <v>83</v>
      </c>
      <c r="D12" s="19" t="s">
        <v>80</v>
      </c>
      <c r="E12" s="19" t="s">
        <v>90</v>
      </c>
      <c r="F12" s="18">
        <v>2</v>
      </c>
      <c r="G12" s="19" t="s">
        <v>93</v>
      </c>
      <c r="H12" s="19" t="s">
        <v>85</v>
      </c>
      <c r="I12" s="19" t="s">
        <v>94</v>
      </c>
    </row>
    <row r="13" spans="1:9" ht="27.75" customHeight="1" x14ac:dyDescent="0.3">
      <c r="A13" s="16" t="s">
        <v>67</v>
      </c>
      <c r="B13" s="17" t="s">
        <v>15</v>
      </c>
      <c r="C13" s="17" t="s">
        <v>95</v>
      </c>
      <c r="D13" s="17" t="s">
        <v>68</v>
      </c>
      <c r="E13" s="17" t="s">
        <v>69</v>
      </c>
      <c r="F13" s="16">
        <v>3</v>
      </c>
      <c r="G13" s="17" t="s">
        <v>96</v>
      </c>
      <c r="H13" s="17" t="s">
        <v>97</v>
      </c>
      <c r="I13" s="17" t="s">
        <v>98</v>
      </c>
    </row>
    <row r="14" spans="1:9" ht="27.75" customHeight="1" x14ac:dyDescent="0.3">
      <c r="A14" s="18" t="s">
        <v>67</v>
      </c>
      <c r="B14" s="19" t="s">
        <v>15</v>
      </c>
      <c r="C14" s="19" t="s">
        <v>95</v>
      </c>
      <c r="D14" s="19" t="s">
        <v>73</v>
      </c>
      <c r="E14" s="19" t="s">
        <v>90</v>
      </c>
      <c r="F14" s="18">
        <v>2</v>
      </c>
      <c r="G14" s="19" t="s">
        <v>99</v>
      </c>
      <c r="H14" s="19" t="s">
        <v>97</v>
      </c>
      <c r="I14" s="19" t="s">
        <v>100</v>
      </c>
    </row>
    <row r="15" spans="1:9" ht="27.75" customHeight="1" x14ac:dyDescent="0.3">
      <c r="A15" s="16" t="s">
        <v>67</v>
      </c>
      <c r="B15" s="17" t="s">
        <v>15</v>
      </c>
      <c r="C15" s="17" t="s">
        <v>95</v>
      </c>
      <c r="D15" s="17" t="s">
        <v>77</v>
      </c>
      <c r="E15" s="17" t="s">
        <v>90</v>
      </c>
      <c r="F15" s="16">
        <v>2</v>
      </c>
      <c r="G15" s="17" t="s">
        <v>101</v>
      </c>
      <c r="H15" s="17" t="s">
        <v>97</v>
      </c>
      <c r="I15" s="17" t="s">
        <v>102</v>
      </c>
    </row>
    <row r="16" spans="1:9" ht="27.75" customHeight="1" x14ac:dyDescent="0.3">
      <c r="A16" s="18" t="s">
        <v>67</v>
      </c>
      <c r="B16" s="19" t="s">
        <v>15</v>
      </c>
      <c r="C16" s="19" t="s">
        <v>95</v>
      </c>
      <c r="D16" s="19" t="s">
        <v>80</v>
      </c>
      <c r="E16" s="19" t="s">
        <v>69</v>
      </c>
      <c r="F16" s="18">
        <v>3</v>
      </c>
      <c r="G16" s="19" t="s">
        <v>103</v>
      </c>
      <c r="H16" s="19" t="s">
        <v>97</v>
      </c>
      <c r="I16" s="19" t="s">
        <v>104</v>
      </c>
    </row>
    <row r="17" spans="1:9" ht="27.75" customHeight="1" x14ac:dyDescent="0.3">
      <c r="A17" s="16" t="s">
        <v>67</v>
      </c>
      <c r="B17" s="17" t="s">
        <v>16</v>
      </c>
      <c r="C17" s="17" t="s">
        <v>105</v>
      </c>
      <c r="D17" s="17" t="s">
        <v>68</v>
      </c>
      <c r="E17" s="17" t="s">
        <v>69</v>
      </c>
      <c r="F17" s="16">
        <v>3</v>
      </c>
      <c r="G17" s="17" t="s">
        <v>106</v>
      </c>
      <c r="H17" s="17" t="s">
        <v>107</v>
      </c>
      <c r="I17" s="17" t="s">
        <v>108</v>
      </c>
    </row>
    <row r="18" spans="1:9" ht="27.75" customHeight="1" x14ac:dyDescent="0.3">
      <c r="A18" s="18" t="s">
        <v>67</v>
      </c>
      <c r="B18" s="19" t="s">
        <v>16</v>
      </c>
      <c r="C18" s="19" t="s">
        <v>105</v>
      </c>
      <c r="D18" s="19" t="s">
        <v>73</v>
      </c>
      <c r="E18" s="19" t="s">
        <v>74</v>
      </c>
      <c r="F18" s="18">
        <v>2.5</v>
      </c>
      <c r="G18" s="19" t="s">
        <v>109</v>
      </c>
      <c r="H18" s="19" t="s">
        <v>107</v>
      </c>
      <c r="I18" s="19" t="s">
        <v>110</v>
      </c>
    </row>
    <row r="19" spans="1:9" ht="27.75" customHeight="1" x14ac:dyDescent="0.3">
      <c r="A19" s="16" t="s">
        <v>67</v>
      </c>
      <c r="B19" s="17" t="s">
        <v>16</v>
      </c>
      <c r="C19" s="17" t="s">
        <v>105</v>
      </c>
      <c r="D19" s="17" t="s">
        <v>77</v>
      </c>
      <c r="E19" s="17" t="s">
        <v>90</v>
      </c>
      <c r="F19" s="16">
        <v>2</v>
      </c>
      <c r="G19" s="17" t="s">
        <v>111</v>
      </c>
      <c r="H19" s="17" t="s">
        <v>107</v>
      </c>
      <c r="I19" s="17" t="s">
        <v>112</v>
      </c>
    </row>
    <row r="20" spans="1:9" ht="27.75" customHeight="1" x14ac:dyDescent="0.3">
      <c r="A20" s="18" t="s">
        <v>67</v>
      </c>
      <c r="B20" s="19" t="s">
        <v>16</v>
      </c>
      <c r="C20" s="19" t="s">
        <v>105</v>
      </c>
      <c r="D20" s="19" t="s">
        <v>80</v>
      </c>
      <c r="E20" s="19" t="s">
        <v>90</v>
      </c>
      <c r="F20" s="18">
        <v>2</v>
      </c>
      <c r="G20" s="19" t="s">
        <v>113</v>
      </c>
      <c r="H20" s="19" t="s">
        <v>107</v>
      </c>
      <c r="I20" s="19" t="s">
        <v>114</v>
      </c>
    </row>
    <row r="21" spans="1:9" ht="27.75" customHeight="1" x14ac:dyDescent="0.3">
      <c r="A21" s="16" t="s">
        <v>67</v>
      </c>
      <c r="B21" s="17" t="s">
        <v>17</v>
      </c>
      <c r="C21" s="17" t="s">
        <v>115</v>
      </c>
      <c r="D21" s="17" t="s">
        <v>68</v>
      </c>
      <c r="E21" s="17" t="s">
        <v>90</v>
      </c>
      <c r="F21" s="16">
        <v>2</v>
      </c>
      <c r="G21" s="17" t="s">
        <v>116</v>
      </c>
      <c r="H21" s="17" t="s">
        <v>117</v>
      </c>
      <c r="I21" s="17" t="s">
        <v>118</v>
      </c>
    </row>
    <row r="22" spans="1:9" ht="27.75" customHeight="1" x14ac:dyDescent="0.3">
      <c r="A22" s="18" t="s">
        <v>67</v>
      </c>
      <c r="B22" s="19" t="s">
        <v>17</v>
      </c>
      <c r="C22" s="19" t="s">
        <v>115</v>
      </c>
      <c r="D22" s="19" t="s">
        <v>73</v>
      </c>
      <c r="E22" s="19" t="s">
        <v>119</v>
      </c>
      <c r="F22" s="18">
        <v>1.5</v>
      </c>
      <c r="G22" s="19" t="s">
        <v>120</v>
      </c>
      <c r="H22" s="19" t="s">
        <v>117</v>
      </c>
      <c r="I22" s="19" t="s">
        <v>121</v>
      </c>
    </row>
    <row r="23" spans="1:9" ht="27.75" customHeight="1" x14ac:dyDescent="0.3">
      <c r="A23" s="16" t="s">
        <v>67</v>
      </c>
      <c r="B23" s="17" t="s">
        <v>17</v>
      </c>
      <c r="C23" s="17" t="s">
        <v>115</v>
      </c>
      <c r="D23" s="17" t="s">
        <v>77</v>
      </c>
      <c r="E23" s="17" t="s">
        <v>87</v>
      </c>
      <c r="F23" s="16">
        <v>1</v>
      </c>
      <c r="G23" s="17" t="s">
        <v>122</v>
      </c>
      <c r="H23" s="17" t="s">
        <v>117</v>
      </c>
      <c r="I23" s="17" t="s">
        <v>123</v>
      </c>
    </row>
    <row r="24" spans="1:9" ht="27.75" customHeight="1" x14ac:dyDescent="0.3">
      <c r="A24" s="18" t="s">
        <v>67</v>
      </c>
      <c r="B24" s="19" t="s">
        <v>17</v>
      </c>
      <c r="C24" s="19" t="s">
        <v>115</v>
      </c>
      <c r="D24" s="19" t="s">
        <v>80</v>
      </c>
      <c r="E24" s="19" t="s">
        <v>90</v>
      </c>
      <c r="F24" s="18">
        <v>2</v>
      </c>
      <c r="G24" s="19" t="s">
        <v>124</v>
      </c>
      <c r="H24" s="19" t="s">
        <v>117</v>
      </c>
      <c r="I24" s="19" t="s">
        <v>125</v>
      </c>
    </row>
    <row r="25" spans="1:9" ht="27.75" customHeight="1" x14ac:dyDescent="0.3">
      <c r="A25" s="16" t="s">
        <v>67</v>
      </c>
      <c r="B25" s="17" t="s">
        <v>18</v>
      </c>
      <c r="C25" s="17" t="s">
        <v>126</v>
      </c>
      <c r="D25" s="17" t="s">
        <v>68</v>
      </c>
      <c r="E25" s="17" t="s">
        <v>90</v>
      </c>
      <c r="F25" s="16">
        <v>2</v>
      </c>
      <c r="G25" s="17" t="s">
        <v>127</v>
      </c>
      <c r="H25" s="17" t="s">
        <v>128</v>
      </c>
      <c r="I25" s="17" t="s">
        <v>129</v>
      </c>
    </row>
    <row r="26" spans="1:9" ht="27.75" customHeight="1" x14ac:dyDescent="0.3">
      <c r="A26" s="18" t="s">
        <v>67</v>
      </c>
      <c r="B26" s="19" t="s">
        <v>18</v>
      </c>
      <c r="C26" s="19" t="s">
        <v>126</v>
      </c>
      <c r="D26" s="19" t="s">
        <v>73</v>
      </c>
      <c r="E26" s="19" t="s">
        <v>90</v>
      </c>
      <c r="F26" s="18">
        <v>2</v>
      </c>
      <c r="G26" s="19" t="s">
        <v>130</v>
      </c>
      <c r="H26" s="19" t="s">
        <v>128</v>
      </c>
      <c r="I26" s="19" t="s">
        <v>131</v>
      </c>
    </row>
    <row r="27" spans="1:9" ht="27.75" customHeight="1" x14ac:dyDescent="0.3">
      <c r="A27" s="16" t="s">
        <v>67</v>
      </c>
      <c r="B27" s="17" t="s">
        <v>18</v>
      </c>
      <c r="C27" s="17" t="s">
        <v>126</v>
      </c>
      <c r="D27" s="17" t="s">
        <v>77</v>
      </c>
      <c r="E27" s="17" t="s">
        <v>90</v>
      </c>
      <c r="F27" s="16">
        <v>2</v>
      </c>
      <c r="G27" s="17" t="s">
        <v>132</v>
      </c>
      <c r="H27" s="17" t="s">
        <v>128</v>
      </c>
      <c r="I27" s="17" t="s">
        <v>133</v>
      </c>
    </row>
    <row r="28" spans="1:9" ht="27.75" customHeight="1" x14ac:dyDescent="0.3">
      <c r="A28" s="18" t="s">
        <v>67</v>
      </c>
      <c r="B28" s="19" t="s">
        <v>18</v>
      </c>
      <c r="C28" s="19" t="s">
        <v>126</v>
      </c>
      <c r="D28" s="19" t="s">
        <v>80</v>
      </c>
      <c r="E28" s="19" t="s">
        <v>90</v>
      </c>
      <c r="F28" s="18">
        <v>2</v>
      </c>
      <c r="G28" s="19" t="s">
        <v>134</v>
      </c>
      <c r="H28" s="19" t="s">
        <v>128</v>
      </c>
      <c r="I28" s="19" t="s">
        <v>135</v>
      </c>
    </row>
    <row r="29" spans="1:9" ht="27.75" customHeight="1" x14ac:dyDescent="0.3">
      <c r="A29" s="16" t="s">
        <v>67</v>
      </c>
      <c r="B29" s="17" t="s">
        <v>19</v>
      </c>
      <c r="C29" s="17" t="s">
        <v>136</v>
      </c>
      <c r="D29" s="17" t="s">
        <v>68</v>
      </c>
      <c r="E29" s="17" t="s">
        <v>90</v>
      </c>
      <c r="F29" s="16">
        <v>2</v>
      </c>
      <c r="G29" s="17" t="s">
        <v>137</v>
      </c>
      <c r="H29" s="17" t="s">
        <v>138</v>
      </c>
      <c r="I29" s="17" t="s">
        <v>139</v>
      </c>
    </row>
    <row r="30" spans="1:9" ht="27.75" customHeight="1" x14ac:dyDescent="0.3">
      <c r="A30" s="18" t="s">
        <v>67</v>
      </c>
      <c r="B30" s="19" t="s">
        <v>19</v>
      </c>
      <c r="C30" s="19" t="s">
        <v>136</v>
      </c>
      <c r="D30" s="19" t="s">
        <v>73</v>
      </c>
      <c r="E30" s="19" t="s">
        <v>69</v>
      </c>
      <c r="F30" s="18">
        <v>3</v>
      </c>
      <c r="G30" s="19" t="s">
        <v>140</v>
      </c>
      <c r="H30" s="19" t="s">
        <v>138</v>
      </c>
      <c r="I30" s="19" t="s">
        <v>141</v>
      </c>
    </row>
    <row r="31" spans="1:9" ht="27.75" customHeight="1" x14ac:dyDescent="0.3">
      <c r="A31" s="16" t="s">
        <v>67</v>
      </c>
      <c r="B31" s="17" t="s">
        <v>19</v>
      </c>
      <c r="C31" s="17" t="s">
        <v>136</v>
      </c>
      <c r="D31" s="17" t="s">
        <v>77</v>
      </c>
      <c r="E31" s="17" t="s">
        <v>90</v>
      </c>
      <c r="F31" s="16">
        <v>2</v>
      </c>
      <c r="G31" s="17" t="s">
        <v>142</v>
      </c>
      <c r="H31" s="17" t="s">
        <v>138</v>
      </c>
      <c r="I31" s="17" t="s">
        <v>143</v>
      </c>
    </row>
    <row r="32" spans="1:9" ht="27.75" customHeight="1" x14ac:dyDescent="0.3">
      <c r="A32" s="18" t="s">
        <v>67</v>
      </c>
      <c r="B32" s="19" t="s">
        <v>19</v>
      </c>
      <c r="C32" s="19" t="s">
        <v>136</v>
      </c>
      <c r="D32" s="19" t="s">
        <v>80</v>
      </c>
      <c r="E32" s="19" t="s">
        <v>90</v>
      </c>
      <c r="F32" s="18">
        <v>2</v>
      </c>
      <c r="G32" s="19" t="s">
        <v>144</v>
      </c>
      <c r="H32" s="19" t="s">
        <v>138</v>
      </c>
      <c r="I32" s="19" t="s">
        <v>145</v>
      </c>
    </row>
    <row r="33" spans="1:9" ht="27.75" customHeight="1" x14ac:dyDescent="0.3">
      <c r="A33" s="16" t="s">
        <v>67</v>
      </c>
      <c r="B33" s="17" t="s">
        <v>20</v>
      </c>
      <c r="C33" s="17" t="s">
        <v>146</v>
      </c>
      <c r="D33" s="17" t="s">
        <v>68</v>
      </c>
      <c r="E33" s="17" t="s">
        <v>87</v>
      </c>
      <c r="F33" s="16">
        <v>1</v>
      </c>
      <c r="G33" s="17" t="s">
        <v>147</v>
      </c>
      <c r="H33" s="17" t="s">
        <v>148</v>
      </c>
      <c r="I33" s="17" t="s">
        <v>149</v>
      </c>
    </row>
    <row r="34" spans="1:9" ht="27.75" customHeight="1" x14ac:dyDescent="0.3">
      <c r="A34" s="18" t="s">
        <v>67</v>
      </c>
      <c r="B34" s="19" t="s">
        <v>20</v>
      </c>
      <c r="C34" s="19" t="s">
        <v>146</v>
      </c>
      <c r="D34" s="19" t="s">
        <v>73</v>
      </c>
      <c r="E34" s="19" t="s">
        <v>90</v>
      </c>
      <c r="F34" s="18">
        <v>2</v>
      </c>
      <c r="G34" s="19" t="s">
        <v>150</v>
      </c>
      <c r="H34" s="19" t="s">
        <v>148</v>
      </c>
      <c r="I34" s="19" t="s">
        <v>151</v>
      </c>
    </row>
    <row r="35" spans="1:9" ht="27.75" customHeight="1" x14ac:dyDescent="0.3">
      <c r="A35" s="16" t="s">
        <v>67</v>
      </c>
      <c r="B35" s="17" t="s">
        <v>20</v>
      </c>
      <c r="C35" s="17" t="s">
        <v>146</v>
      </c>
      <c r="D35" s="17" t="s">
        <v>77</v>
      </c>
      <c r="E35" s="17" t="s">
        <v>119</v>
      </c>
      <c r="F35" s="16">
        <v>1.5</v>
      </c>
      <c r="G35" s="17" t="s">
        <v>152</v>
      </c>
      <c r="H35" s="17" t="s">
        <v>148</v>
      </c>
      <c r="I35" s="17" t="s">
        <v>153</v>
      </c>
    </row>
    <row r="36" spans="1:9" ht="27.75" customHeight="1" x14ac:dyDescent="0.3">
      <c r="A36" s="18" t="s">
        <v>67</v>
      </c>
      <c r="B36" s="19" t="s">
        <v>20</v>
      </c>
      <c r="C36" s="19" t="s">
        <v>146</v>
      </c>
      <c r="D36" s="19" t="s">
        <v>80</v>
      </c>
      <c r="E36" s="19" t="s">
        <v>87</v>
      </c>
      <c r="F36" s="18">
        <v>1</v>
      </c>
      <c r="G36" s="19" t="s">
        <v>154</v>
      </c>
      <c r="H36" s="19" t="s">
        <v>148</v>
      </c>
      <c r="I36" s="19" t="s">
        <v>155</v>
      </c>
    </row>
    <row r="37" spans="1:9" ht="27.75" customHeight="1" x14ac:dyDescent="0.3">
      <c r="A37" s="16" t="s">
        <v>67</v>
      </c>
      <c r="B37" s="17" t="s">
        <v>21</v>
      </c>
      <c r="C37" s="17" t="s">
        <v>156</v>
      </c>
      <c r="D37" s="17" t="s">
        <v>68</v>
      </c>
      <c r="E37" s="17" t="s">
        <v>69</v>
      </c>
      <c r="F37" s="16">
        <v>3</v>
      </c>
      <c r="G37" s="17" t="s">
        <v>157</v>
      </c>
      <c r="H37" s="17" t="s">
        <v>158</v>
      </c>
      <c r="I37" s="17" t="s">
        <v>159</v>
      </c>
    </row>
    <row r="38" spans="1:9" ht="27.75" customHeight="1" x14ac:dyDescent="0.3">
      <c r="A38" s="18" t="s">
        <v>67</v>
      </c>
      <c r="B38" s="19" t="s">
        <v>21</v>
      </c>
      <c r="C38" s="19" t="s">
        <v>156</v>
      </c>
      <c r="D38" s="19" t="s">
        <v>73</v>
      </c>
      <c r="E38" s="19" t="s">
        <v>87</v>
      </c>
      <c r="F38" s="18">
        <v>1</v>
      </c>
      <c r="G38" s="19" t="s">
        <v>160</v>
      </c>
      <c r="H38" s="19" t="s">
        <v>158</v>
      </c>
      <c r="I38" s="19" t="s">
        <v>161</v>
      </c>
    </row>
    <row r="39" spans="1:9" ht="27.75" customHeight="1" x14ac:dyDescent="0.3">
      <c r="A39" s="16" t="s">
        <v>67</v>
      </c>
      <c r="B39" s="17" t="s">
        <v>21</v>
      </c>
      <c r="C39" s="17" t="s">
        <v>156</v>
      </c>
      <c r="D39" s="17" t="s">
        <v>77</v>
      </c>
      <c r="E39" s="17" t="s">
        <v>90</v>
      </c>
      <c r="F39" s="16">
        <v>2</v>
      </c>
      <c r="G39" s="17" t="s">
        <v>162</v>
      </c>
      <c r="H39" s="17" t="s">
        <v>158</v>
      </c>
      <c r="I39" s="17" t="s">
        <v>163</v>
      </c>
    </row>
    <row r="40" spans="1:9" ht="27.75" customHeight="1" x14ac:dyDescent="0.3">
      <c r="A40" s="18" t="s">
        <v>67</v>
      </c>
      <c r="B40" s="19" t="s">
        <v>21</v>
      </c>
      <c r="C40" s="19" t="s">
        <v>156</v>
      </c>
      <c r="D40" s="19" t="s">
        <v>80</v>
      </c>
      <c r="E40" s="19" t="s">
        <v>90</v>
      </c>
      <c r="F40" s="18">
        <v>2</v>
      </c>
      <c r="G40" s="19" t="s">
        <v>164</v>
      </c>
      <c r="H40" s="19" t="s">
        <v>158</v>
      </c>
      <c r="I40" s="19" t="s">
        <v>165</v>
      </c>
    </row>
    <row r="41" spans="1:9" ht="27.75" customHeight="1" x14ac:dyDescent="0.3">
      <c r="A41" s="16" t="s">
        <v>67</v>
      </c>
      <c r="B41" s="17" t="s">
        <v>23</v>
      </c>
      <c r="C41" s="17" t="s">
        <v>166</v>
      </c>
      <c r="D41" s="17" t="s">
        <v>68</v>
      </c>
      <c r="E41" s="17" t="s">
        <v>90</v>
      </c>
      <c r="F41" s="16">
        <v>2</v>
      </c>
      <c r="G41" s="17" t="s">
        <v>167</v>
      </c>
      <c r="H41" s="17" t="s">
        <v>168</v>
      </c>
      <c r="I41" s="17" t="s">
        <v>169</v>
      </c>
    </row>
    <row r="42" spans="1:9" ht="27.75" customHeight="1" x14ac:dyDescent="0.3">
      <c r="A42" s="18" t="s">
        <v>67</v>
      </c>
      <c r="B42" s="19" t="s">
        <v>23</v>
      </c>
      <c r="C42" s="19" t="s">
        <v>166</v>
      </c>
      <c r="D42" s="19" t="s">
        <v>73</v>
      </c>
      <c r="E42" s="19" t="s">
        <v>90</v>
      </c>
      <c r="F42" s="18">
        <v>2</v>
      </c>
      <c r="G42" s="19" t="s">
        <v>170</v>
      </c>
      <c r="H42" s="19" t="s">
        <v>168</v>
      </c>
      <c r="I42" s="19" t="s">
        <v>171</v>
      </c>
    </row>
    <row r="43" spans="1:9" ht="27.75" customHeight="1" x14ac:dyDescent="0.3">
      <c r="A43" s="16" t="s">
        <v>67</v>
      </c>
      <c r="B43" s="17" t="s">
        <v>23</v>
      </c>
      <c r="C43" s="17" t="s">
        <v>166</v>
      </c>
      <c r="D43" s="17" t="s">
        <v>77</v>
      </c>
      <c r="E43" s="17" t="s">
        <v>87</v>
      </c>
      <c r="F43" s="16">
        <v>1</v>
      </c>
      <c r="G43" s="17" t="s">
        <v>172</v>
      </c>
      <c r="H43" s="17" t="s">
        <v>168</v>
      </c>
      <c r="I43" s="17" t="s">
        <v>173</v>
      </c>
    </row>
    <row r="44" spans="1:9" ht="27.75" customHeight="1" x14ac:dyDescent="0.3">
      <c r="A44" s="18" t="s">
        <v>67</v>
      </c>
      <c r="B44" s="19" t="s">
        <v>23</v>
      </c>
      <c r="C44" s="19" t="s">
        <v>166</v>
      </c>
      <c r="D44" s="19" t="s">
        <v>80</v>
      </c>
      <c r="E44" s="19" t="s">
        <v>90</v>
      </c>
      <c r="F44" s="18">
        <v>2</v>
      </c>
      <c r="G44" s="19" t="s">
        <v>174</v>
      </c>
      <c r="H44" s="19" t="s">
        <v>168</v>
      </c>
      <c r="I44" s="19" t="s">
        <v>175</v>
      </c>
    </row>
    <row r="45" spans="1:9" ht="27.75" customHeight="1" x14ac:dyDescent="0.3">
      <c r="A45" s="16" t="s">
        <v>67</v>
      </c>
      <c r="B45" s="17" t="s">
        <v>24</v>
      </c>
      <c r="C45" s="17" t="s">
        <v>176</v>
      </c>
      <c r="D45" s="17" t="s">
        <v>68</v>
      </c>
      <c r="E45" s="17" t="s">
        <v>90</v>
      </c>
      <c r="F45" s="16">
        <v>2</v>
      </c>
      <c r="G45" s="17" t="s">
        <v>177</v>
      </c>
      <c r="H45" s="17" t="s">
        <v>178</v>
      </c>
      <c r="I45" s="17" t="s">
        <v>179</v>
      </c>
    </row>
    <row r="46" spans="1:9" ht="27.75" customHeight="1" x14ac:dyDescent="0.3">
      <c r="A46" s="18" t="s">
        <v>67</v>
      </c>
      <c r="B46" s="19" t="s">
        <v>24</v>
      </c>
      <c r="C46" s="19" t="s">
        <v>176</v>
      </c>
      <c r="D46" s="19" t="s">
        <v>73</v>
      </c>
      <c r="E46" s="19" t="s">
        <v>90</v>
      </c>
      <c r="F46" s="18">
        <v>2</v>
      </c>
      <c r="G46" s="19" t="s">
        <v>180</v>
      </c>
      <c r="H46" s="19" t="s">
        <v>178</v>
      </c>
      <c r="I46" s="19" t="s">
        <v>181</v>
      </c>
    </row>
    <row r="47" spans="1:9" ht="27.75" customHeight="1" x14ac:dyDescent="0.3">
      <c r="A47" s="16" t="s">
        <v>67</v>
      </c>
      <c r="B47" s="17" t="s">
        <v>24</v>
      </c>
      <c r="C47" s="17" t="s">
        <v>176</v>
      </c>
      <c r="D47" s="17" t="s">
        <v>77</v>
      </c>
      <c r="E47" s="17" t="s">
        <v>90</v>
      </c>
      <c r="F47" s="16">
        <v>2</v>
      </c>
      <c r="G47" s="17" t="s">
        <v>182</v>
      </c>
      <c r="H47" s="17" t="s">
        <v>178</v>
      </c>
      <c r="I47" s="17" t="s">
        <v>183</v>
      </c>
    </row>
    <row r="48" spans="1:9" ht="27.75" customHeight="1" x14ac:dyDescent="0.3">
      <c r="A48" s="18" t="s">
        <v>67</v>
      </c>
      <c r="B48" s="19" t="s">
        <v>24</v>
      </c>
      <c r="C48" s="19" t="s">
        <v>176</v>
      </c>
      <c r="D48" s="19" t="s">
        <v>80</v>
      </c>
      <c r="E48" s="19" t="s">
        <v>69</v>
      </c>
      <c r="F48" s="18">
        <v>3</v>
      </c>
      <c r="G48" s="19" t="s">
        <v>184</v>
      </c>
      <c r="H48" s="19" t="s">
        <v>178</v>
      </c>
      <c r="I48" s="19" t="s">
        <v>185</v>
      </c>
    </row>
    <row r="49" spans="1:9" ht="27.75" customHeight="1" x14ac:dyDescent="0.3">
      <c r="A49" s="16" t="s">
        <v>67</v>
      </c>
      <c r="B49" s="17" t="s">
        <v>25</v>
      </c>
      <c r="C49" s="17" t="s">
        <v>186</v>
      </c>
      <c r="D49" s="17" t="s">
        <v>68</v>
      </c>
      <c r="E49" s="17" t="s">
        <v>69</v>
      </c>
      <c r="F49" s="16">
        <v>3</v>
      </c>
      <c r="G49" s="17" t="s">
        <v>187</v>
      </c>
      <c r="H49" s="17" t="s">
        <v>188</v>
      </c>
      <c r="I49" s="17" t="s">
        <v>189</v>
      </c>
    </row>
    <row r="50" spans="1:9" ht="27.75" customHeight="1" x14ac:dyDescent="0.3">
      <c r="A50" s="18" t="s">
        <v>67</v>
      </c>
      <c r="B50" s="19" t="s">
        <v>25</v>
      </c>
      <c r="C50" s="19" t="s">
        <v>186</v>
      </c>
      <c r="D50" s="19" t="s">
        <v>73</v>
      </c>
      <c r="E50" s="19" t="s">
        <v>74</v>
      </c>
      <c r="F50" s="18">
        <v>2.5</v>
      </c>
      <c r="G50" s="19" t="s">
        <v>190</v>
      </c>
      <c r="H50" s="19" t="s">
        <v>188</v>
      </c>
      <c r="I50" s="19" t="s">
        <v>191</v>
      </c>
    </row>
    <row r="51" spans="1:9" ht="27.75" customHeight="1" x14ac:dyDescent="0.3">
      <c r="A51" s="16" t="s">
        <v>67</v>
      </c>
      <c r="B51" s="17" t="s">
        <v>25</v>
      </c>
      <c r="C51" s="17" t="s">
        <v>186</v>
      </c>
      <c r="D51" s="17" t="s">
        <v>77</v>
      </c>
      <c r="E51" s="17" t="s">
        <v>69</v>
      </c>
      <c r="F51" s="16">
        <v>3</v>
      </c>
      <c r="G51" s="17" t="s">
        <v>192</v>
      </c>
      <c r="H51" s="17" t="s">
        <v>188</v>
      </c>
      <c r="I51" s="17" t="s">
        <v>193</v>
      </c>
    </row>
    <row r="52" spans="1:9" ht="27.75" customHeight="1" x14ac:dyDescent="0.3">
      <c r="A52" s="18" t="s">
        <v>67</v>
      </c>
      <c r="B52" s="19" t="s">
        <v>25</v>
      </c>
      <c r="C52" s="19" t="s">
        <v>186</v>
      </c>
      <c r="D52" s="19" t="s">
        <v>80</v>
      </c>
      <c r="E52" s="19" t="s">
        <v>69</v>
      </c>
      <c r="F52" s="18">
        <v>3</v>
      </c>
      <c r="G52" s="19" t="s">
        <v>194</v>
      </c>
      <c r="H52" s="19" t="s">
        <v>188</v>
      </c>
      <c r="I52" s="19" t="s">
        <v>195</v>
      </c>
    </row>
    <row r="53" spans="1:9" ht="27.75" customHeight="1" x14ac:dyDescent="0.3">
      <c r="A53" s="16" t="s">
        <v>67</v>
      </c>
      <c r="B53" s="17" t="s">
        <v>26</v>
      </c>
      <c r="C53" s="17" t="s">
        <v>196</v>
      </c>
      <c r="D53" s="17" t="s">
        <v>68</v>
      </c>
      <c r="E53" s="17" t="s">
        <v>90</v>
      </c>
      <c r="F53" s="16">
        <v>2</v>
      </c>
      <c r="G53" s="17" t="s">
        <v>197</v>
      </c>
      <c r="H53" s="17" t="s">
        <v>198</v>
      </c>
      <c r="I53" s="17" t="s">
        <v>199</v>
      </c>
    </row>
    <row r="54" spans="1:9" ht="27.75" customHeight="1" x14ac:dyDescent="0.3">
      <c r="A54" s="18" t="s">
        <v>67</v>
      </c>
      <c r="B54" s="19" t="s">
        <v>26</v>
      </c>
      <c r="C54" s="19" t="s">
        <v>196</v>
      </c>
      <c r="D54" s="19" t="s">
        <v>73</v>
      </c>
      <c r="E54" s="19" t="s">
        <v>119</v>
      </c>
      <c r="F54" s="18">
        <v>1.5</v>
      </c>
      <c r="G54" s="19" t="s">
        <v>200</v>
      </c>
      <c r="H54" s="19" t="s">
        <v>198</v>
      </c>
      <c r="I54" s="19" t="s">
        <v>201</v>
      </c>
    </row>
    <row r="55" spans="1:9" ht="27.75" customHeight="1" x14ac:dyDescent="0.3">
      <c r="A55" s="16" t="s">
        <v>67</v>
      </c>
      <c r="B55" s="17" t="s">
        <v>26</v>
      </c>
      <c r="C55" s="17" t="s">
        <v>196</v>
      </c>
      <c r="D55" s="17" t="s">
        <v>77</v>
      </c>
      <c r="E55" s="17" t="s">
        <v>87</v>
      </c>
      <c r="F55" s="16">
        <v>1</v>
      </c>
      <c r="G55" s="17" t="s">
        <v>202</v>
      </c>
      <c r="H55" s="17" t="s">
        <v>198</v>
      </c>
      <c r="I55" s="17" t="s">
        <v>203</v>
      </c>
    </row>
    <row r="56" spans="1:9" ht="27.75" customHeight="1" x14ac:dyDescent="0.3">
      <c r="A56" s="18" t="s">
        <v>67</v>
      </c>
      <c r="B56" s="19" t="s">
        <v>26</v>
      </c>
      <c r="C56" s="19" t="s">
        <v>196</v>
      </c>
      <c r="D56" s="19" t="s">
        <v>80</v>
      </c>
      <c r="E56" s="19" t="s">
        <v>90</v>
      </c>
      <c r="F56" s="18">
        <v>2</v>
      </c>
      <c r="G56" s="19" t="s">
        <v>204</v>
      </c>
      <c r="H56" s="19" t="s">
        <v>198</v>
      </c>
      <c r="I56" s="19" t="s">
        <v>205</v>
      </c>
    </row>
    <row r="57" spans="1:9" ht="27.75" customHeight="1" x14ac:dyDescent="0.3">
      <c r="A57" s="16" t="s">
        <v>67</v>
      </c>
      <c r="B57" s="17" t="s">
        <v>27</v>
      </c>
      <c r="C57" s="17" t="s">
        <v>206</v>
      </c>
      <c r="D57" s="17" t="s">
        <v>68</v>
      </c>
      <c r="E57" s="17" t="s">
        <v>90</v>
      </c>
      <c r="F57" s="16">
        <v>2</v>
      </c>
      <c r="G57" s="17" t="s">
        <v>207</v>
      </c>
      <c r="H57" s="17" t="s">
        <v>208</v>
      </c>
      <c r="I57" s="17" t="s">
        <v>209</v>
      </c>
    </row>
    <row r="58" spans="1:9" ht="27.75" customHeight="1" x14ac:dyDescent="0.3">
      <c r="A58" s="18" t="s">
        <v>67</v>
      </c>
      <c r="B58" s="19" t="s">
        <v>27</v>
      </c>
      <c r="C58" s="19" t="s">
        <v>206</v>
      </c>
      <c r="D58" s="19" t="s">
        <v>73</v>
      </c>
      <c r="E58" s="19" t="s">
        <v>69</v>
      </c>
      <c r="F58" s="18">
        <v>3</v>
      </c>
      <c r="G58" s="19" t="s">
        <v>210</v>
      </c>
      <c r="H58" s="19" t="s">
        <v>208</v>
      </c>
      <c r="I58" s="19" t="s">
        <v>211</v>
      </c>
    </row>
    <row r="59" spans="1:9" ht="27.75" customHeight="1" x14ac:dyDescent="0.3">
      <c r="A59" s="16" t="s">
        <v>67</v>
      </c>
      <c r="B59" s="17" t="s">
        <v>27</v>
      </c>
      <c r="C59" s="17" t="s">
        <v>206</v>
      </c>
      <c r="D59" s="17" t="s">
        <v>77</v>
      </c>
      <c r="E59" s="17" t="s">
        <v>90</v>
      </c>
      <c r="F59" s="16">
        <v>2</v>
      </c>
      <c r="G59" s="17" t="s">
        <v>212</v>
      </c>
      <c r="H59" s="17" t="s">
        <v>208</v>
      </c>
      <c r="I59" s="17" t="s">
        <v>213</v>
      </c>
    </row>
    <row r="60" spans="1:9" ht="27.75" customHeight="1" x14ac:dyDescent="0.3">
      <c r="A60" s="18" t="s">
        <v>67</v>
      </c>
      <c r="B60" s="19" t="s">
        <v>27</v>
      </c>
      <c r="C60" s="19" t="s">
        <v>206</v>
      </c>
      <c r="D60" s="19" t="s">
        <v>80</v>
      </c>
      <c r="E60" s="19" t="s">
        <v>69</v>
      </c>
      <c r="F60" s="18">
        <v>3</v>
      </c>
      <c r="G60" s="19" t="s">
        <v>214</v>
      </c>
      <c r="H60" s="19" t="s">
        <v>208</v>
      </c>
      <c r="I60" s="19" t="s">
        <v>215</v>
      </c>
    </row>
    <row r="61" spans="1:9" ht="27.75" customHeight="1" x14ac:dyDescent="0.3">
      <c r="A61" s="16" t="s">
        <v>67</v>
      </c>
      <c r="B61" s="17" t="s">
        <v>28</v>
      </c>
      <c r="C61" s="17" t="s">
        <v>216</v>
      </c>
      <c r="D61" s="17" t="s">
        <v>68</v>
      </c>
      <c r="E61" s="17" t="s">
        <v>69</v>
      </c>
      <c r="F61" s="16">
        <v>3</v>
      </c>
      <c r="G61" s="17" t="s">
        <v>217</v>
      </c>
      <c r="H61" s="17" t="s">
        <v>218</v>
      </c>
      <c r="I61" s="17" t="s">
        <v>219</v>
      </c>
    </row>
    <row r="62" spans="1:9" ht="27.75" customHeight="1" x14ac:dyDescent="0.3">
      <c r="A62" s="18" t="s">
        <v>67</v>
      </c>
      <c r="B62" s="19" t="s">
        <v>28</v>
      </c>
      <c r="C62" s="19" t="s">
        <v>216</v>
      </c>
      <c r="D62" s="19" t="s">
        <v>73</v>
      </c>
      <c r="E62" s="19" t="s">
        <v>90</v>
      </c>
      <c r="F62" s="18">
        <v>2</v>
      </c>
      <c r="G62" s="19" t="s">
        <v>220</v>
      </c>
      <c r="H62" s="19" t="s">
        <v>218</v>
      </c>
      <c r="I62" s="19" t="s">
        <v>221</v>
      </c>
    </row>
    <row r="63" spans="1:9" ht="27.75" customHeight="1" x14ac:dyDescent="0.3">
      <c r="A63" s="16" t="s">
        <v>67</v>
      </c>
      <c r="B63" s="17" t="s">
        <v>28</v>
      </c>
      <c r="C63" s="17" t="s">
        <v>216</v>
      </c>
      <c r="D63" s="17" t="s">
        <v>77</v>
      </c>
      <c r="E63" s="17" t="s">
        <v>90</v>
      </c>
      <c r="F63" s="16">
        <v>2</v>
      </c>
      <c r="G63" s="17" t="s">
        <v>222</v>
      </c>
      <c r="H63" s="17" t="s">
        <v>218</v>
      </c>
      <c r="I63" s="17" t="s">
        <v>223</v>
      </c>
    </row>
    <row r="64" spans="1:9" ht="27.75" customHeight="1" x14ac:dyDescent="0.3">
      <c r="A64" s="18" t="s">
        <v>67</v>
      </c>
      <c r="B64" s="19" t="s">
        <v>28</v>
      </c>
      <c r="C64" s="19" t="s">
        <v>216</v>
      </c>
      <c r="D64" s="19" t="s">
        <v>80</v>
      </c>
      <c r="E64" s="19" t="s">
        <v>69</v>
      </c>
      <c r="F64" s="18">
        <v>3</v>
      </c>
      <c r="G64" s="19" t="s">
        <v>224</v>
      </c>
      <c r="H64" s="19" t="s">
        <v>218</v>
      </c>
      <c r="I64" s="19" t="s">
        <v>225</v>
      </c>
    </row>
    <row r="65" spans="1:9" ht="27.75" customHeight="1" x14ac:dyDescent="0.3">
      <c r="A65" s="16" t="s">
        <v>67</v>
      </c>
      <c r="B65" s="17" t="s">
        <v>29</v>
      </c>
      <c r="C65" s="17" t="s">
        <v>226</v>
      </c>
      <c r="D65" s="17" t="s">
        <v>68</v>
      </c>
      <c r="E65" s="17" t="s">
        <v>69</v>
      </c>
      <c r="F65" s="16">
        <v>3</v>
      </c>
      <c r="G65" s="17" t="s">
        <v>227</v>
      </c>
      <c r="H65" s="17" t="s">
        <v>228</v>
      </c>
      <c r="I65" s="17" t="s">
        <v>229</v>
      </c>
    </row>
    <row r="66" spans="1:9" ht="27.75" customHeight="1" x14ac:dyDescent="0.3">
      <c r="A66" s="18" t="s">
        <v>67</v>
      </c>
      <c r="B66" s="19" t="s">
        <v>29</v>
      </c>
      <c r="C66" s="19" t="s">
        <v>226</v>
      </c>
      <c r="D66" s="19" t="s">
        <v>73</v>
      </c>
      <c r="E66" s="19" t="s">
        <v>90</v>
      </c>
      <c r="F66" s="18">
        <v>2</v>
      </c>
      <c r="G66" s="19" t="s">
        <v>230</v>
      </c>
      <c r="H66" s="19" t="s">
        <v>228</v>
      </c>
      <c r="I66" s="19" t="s">
        <v>231</v>
      </c>
    </row>
    <row r="67" spans="1:9" ht="27.75" customHeight="1" x14ac:dyDescent="0.3">
      <c r="A67" s="16" t="s">
        <v>67</v>
      </c>
      <c r="B67" s="17" t="s">
        <v>29</v>
      </c>
      <c r="C67" s="17" t="s">
        <v>226</v>
      </c>
      <c r="D67" s="17" t="s">
        <v>77</v>
      </c>
      <c r="E67" s="17" t="s">
        <v>90</v>
      </c>
      <c r="F67" s="16">
        <v>2</v>
      </c>
      <c r="G67" s="17" t="s">
        <v>232</v>
      </c>
      <c r="H67" s="17" t="s">
        <v>228</v>
      </c>
      <c r="I67" s="17" t="s">
        <v>233</v>
      </c>
    </row>
    <row r="68" spans="1:9" ht="27.75" customHeight="1" x14ac:dyDescent="0.3">
      <c r="A68" s="18" t="s">
        <v>67</v>
      </c>
      <c r="B68" s="19" t="s">
        <v>29</v>
      </c>
      <c r="C68" s="19" t="s">
        <v>226</v>
      </c>
      <c r="D68" s="19" t="s">
        <v>80</v>
      </c>
      <c r="E68" s="19" t="s">
        <v>90</v>
      </c>
      <c r="F68" s="18">
        <v>2</v>
      </c>
      <c r="G68" s="19" t="s">
        <v>234</v>
      </c>
      <c r="H68" s="19" t="s">
        <v>228</v>
      </c>
      <c r="I68" s="19" t="s">
        <v>235</v>
      </c>
    </row>
    <row r="69" spans="1:9" ht="27.75" customHeight="1" x14ac:dyDescent="0.3">
      <c r="A69" s="16" t="s">
        <v>67</v>
      </c>
      <c r="B69" s="17" t="s">
        <v>30</v>
      </c>
      <c r="C69" s="17" t="s">
        <v>236</v>
      </c>
      <c r="D69" s="17" t="s">
        <v>68</v>
      </c>
      <c r="E69" s="17" t="s">
        <v>69</v>
      </c>
      <c r="F69" s="16">
        <v>3</v>
      </c>
      <c r="G69" s="17" t="s">
        <v>237</v>
      </c>
      <c r="H69" s="17" t="s">
        <v>238</v>
      </c>
      <c r="I69" s="17" t="s">
        <v>239</v>
      </c>
    </row>
    <row r="70" spans="1:9" ht="27.75" customHeight="1" x14ac:dyDescent="0.3">
      <c r="A70" s="18" t="s">
        <v>67</v>
      </c>
      <c r="B70" s="19" t="s">
        <v>30</v>
      </c>
      <c r="C70" s="19" t="s">
        <v>236</v>
      </c>
      <c r="D70" s="19" t="s">
        <v>73</v>
      </c>
      <c r="E70" s="19" t="s">
        <v>87</v>
      </c>
      <c r="F70" s="18">
        <v>1</v>
      </c>
      <c r="G70" s="19" t="s">
        <v>240</v>
      </c>
      <c r="H70" s="19" t="s">
        <v>238</v>
      </c>
      <c r="I70" s="19" t="s">
        <v>241</v>
      </c>
    </row>
    <row r="71" spans="1:9" ht="27.75" customHeight="1" x14ac:dyDescent="0.3">
      <c r="A71" s="16" t="s">
        <v>67</v>
      </c>
      <c r="B71" s="17" t="s">
        <v>30</v>
      </c>
      <c r="C71" s="17" t="s">
        <v>236</v>
      </c>
      <c r="D71" s="17" t="s">
        <v>77</v>
      </c>
      <c r="E71" s="17" t="s">
        <v>87</v>
      </c>
      <c r="F71" s="16">
        <v>1</v>
      </c>
      <c r="G71" s="17" t="s">
        <v>242</v>
      </c>
      <c r="H71" s="17" t="s">
        <v>238</v>
      </c>
      <c r="I71" s="17" t="s">
        <v>243</v>
      </c>
    </row>
    <row r="72" spans="1:9" ht="27.75" customHeight="1" x14ac:dyDescent="0.3">
      <c r="A72" s="18" t="s">
        <v>67</v>
      </c>
      <c r="B72" s="19" t="s">
        <v>30</v>
      </c>
      <c r="C72" s="19" t="s">
        <v>236</v>
      </c>
      <c r="D72" s="19" t="s">
        <v>80</v>
      </c>
      <c r="E72" s="19" t="s">
        <v>87</v>
      </c>
      <c r="F72" s="18">
        <v>1</v>
      </c>
      <c r="G72" s="19" t="s">
        <v>244</v>
      </c>
      <c r="H72" s="19" t="s">
        <v>238</v>
      </c>
      <c r="I72" s="19" t="s">
        <v>245</v>
      </c>
    </row>
    <row r="73" spans="1:9" ht="27.75" customHeight="1" x14ac:dyDescent="0.3">
      <c r="A73" s="16" t="s">
        <v>67</v>
      </c>
      <c r="B73" s="17" t="s">
        <v>31</v>
      </c>
      <c r="C73" s="17" t="s">
        <v>246</v>
      </c>
      <c r="D73" s="17" t="s">
        <v>68</v>
      </c>
      <c r="E73" s="17" t="s">
        <v>69</v>
      </c>
      <c r="F73" s="16">
        <v>3</v>
      </c>
      <c r="G73" s="17" t="s">
        <v>247</v>
      </c>
      <c r="H73" s="17" t="s">
        <v>248</v>
      </c>
      <c r="I73" s="17" t="s">
        <v>249</v>
      </c>
    </row>
    <row r="74" spans="1:9" ht="27.75" customHeight="1" x14ac:dyDescent="0.3">
      <c r="A74" s="18" t="s">
        <v>67</v>
      </c>
      <c r="B74" s="19" t="s">
        <v>31</v>
      </c>
      <c r="C74" s="19" t="s">
        <v>246</v>
      </c>
      <c r="D74" s="19" t="s">
        <v>73</v>
      </c>
      <c r="E74" s="19" t="s">
        <v>87</v>
      </c>
      <c r="F74" s="18">
        <v>1</v>
      </c>
      <c r="G74" s="19" t="s">
        <v>250</v>
      </c>
      <c r="H74" s="19" t="s">
        <v>248</v>
      </c>
      <c r="I74" s="19" t="s">
        <v>251</v>
      </c>
    </row>
    <row r="75" spans="1:9" ht="27.75" customHeight="1" x14ac:dyDescent="0.3">
      <c r="A75" s="16" t="s">
        <v>67</v>
      </c>
      <c r="B75" s="17" t="s">
        <v>31</v>
      </c>
      <c r="C75" s="17" t="s">
        <v>246</v>
      </c>
      <c r="D75" s="17" t="s">
        <v>77</v>
      </c>
      <c r="E75" s="17" t="s">
        <v>90</v>
      </c>
      <c r="F75" s="16">
        <v>2</v>
      </c>
      <c r="G75" s="17" t="s">
        <v>252</v>
      </c>
      <c r="H75" s="17" t="s">
        <v>248</v>
      </c>
      <c r="I75" s="17" t="s">
        <v>253</v>
      </c>
    </row>
    <row r="76" spans="1:9" ht="27.75" customHeight="1" x14ac:dyDescent="0.3">
      <c r="A76" s="18" t="s">
        <v>67</v>
      </c>
      <c r="B76" s="19" t="s">
        <v>31</v>
      </c>
      <c r="C76" s="19" t="s">
        <v>246</v>
      </c>
      <c r="D76" s="19" t="s">
        <v>80</v>
      </c>
      <c r="E76" s="19" t="s">
        <v>90</v>
      </c>
      <c r="F76" s="18">
        <v>2</v>
      </c>
      <c r="G76" s="19" t="s">
        <v>254</v>
      </c>
      <c r="H76" s="19" t="s">
        <v>248</v>
      </c>
      <c r="I76" s="19" t="s">
        <v>255</v>
      </c>
    </row>
    <row r="77" spans="1:9" ht="27.75" customHeight="1" x14ac:dyDescent="0.3">
      <c r="A77" s="16" t="s">
        <v>67</v>
      </c>
      <c r="B77" s="17" t="s">
        <v>32</v>
      </c>
      <c r="C77" s="17" t="s">
        <v>256</v>
      </c>
      <c r="D77" s="17" t="s">
        <v>68</v>
      </c>
      <c r="E77" s="17" t="s">
        <v>69</v>
      </c>
      <c r="F77" s="16">
        <v>3</v>
      </c>
      <c r="G77" s="17" t="s">
        <v>257</v>
      </c>
      <c r="H77" s="17" t="s">
        <v>258</v>
      </c>
      <c r="I77" s="17" t="s">
        <v>259</v>
      </c>
    </row>
    <row r="78" spans="1:9" ht="27.75" customHeight="1" x14ac:dyDescent="0.3">
      <c r="A78" s="18" t="s">
        <v>67</v>
      </c>
      <c r="B78" s="19" t="s">
        <v>32</v>
      </c>
      <c r="C78" s="19" t="s">
        <v>256</v>
      </c>
      <c r="D78" s="19" t="s">
        <v>73</v>
      </c>
      <c r="E78" s="19" t="s">
        <v>119</v>
      </c>
      <c r="F78" s="18">
        <v>1.5</v>
      </c>
      <c r="G78" s="19" t="s">
        <v>260</v>
      </c>
      <c r="H78" s="19" t="s">
        <v>258</v>
      </c>
      <c r="I78" s="19" t="s">
        <v>261</v>
      </c>
    </row>
    <row r="79" spans="1:9" ht="27.75" customHeight="1" x14ac:dyDescent="0.3">
      <c r="A79" s="16" t="s">
        <v>67</v>
      </c>
      <c r="B79" s="17" t="s">
        <v>32</v>
      </c>
      <c r="C79" s="17" t="s">
        <v>256</v>
      </c>
      <c r="D79" s="17" t="s">
        <v>77</v>
      </c>
      <c r="E79" s="17" t="s">
        <v>90</v>
      </c>
      <c r="F79" s="16">
        <v>2</v>
      </c>
      <c r="G79" s="17" t="s">
        <v>262</v>
      </c>
      <c r="H79" s="17" t="s">
        <v>258</v>
      </c>
      <c r="I79" s="17" t="s">
        <v>263</v>
      </c>
    </row>
    <row r="80" spans="1:9" ht="27.75" customHeight="1" x14ac:dyDescent="0.3">
      <c r="A80" s="18" t="s">
        <v>67</v>
      </c>
      <c r="B80" s="19" t="s">
        <v>32</v>
      </c>
      <c r="C80" s="19" t="s">
        <v>256</v>
      </c>
      <c r="D80" s="19" t="s">
        <v>80</v>
      </c>
      <c r="E80" s="19" t="s">
        <v>90</v>
      </c>
      <c r="F80" s="18">
        <v>2</v>
      </c>
      <c r="G80" s="19" t="s">
        <v>264</v>
      </c>
      <c r="H80" s="19" t="s">
        <v>258</v>
      </c>
      <c r="I80" s="19" t="s">
        <v>265</v>
      </c>
    </row>
    <row r="81" spans="1:9" ht="27.75" customHeight="1" x14ac:dyDescent="0.3">
      <c r="A81" s="16" t="s">
        <v>67</v>
      </c>
      <c r="B81" s="17" t="s">
        <v>33</v>
      </c>
      <c r="C81" s="17" t="s">
        <v>266</v>
      </c>
      <c r="D81" s="17" t="s">
        <v>68</v>
      </c>
      <c r="E81" s="17" t="s">
        <v>90</v>
      </c>
      <c r="F81" s="16">
        <v>2</v>
      </c>
      <c r="G81" s="17" t="s">
        <v>267</v>
      </c>
      <c r="H81" s="17" t="s">
        <v>268</v>
      </c>
      <c r="I81" s="17" t="s">
        <v>269</v>
      </c>
    </row>
    <row r="82" spans="1:9" ht="27.75" customHeight="1" x14ac:dyDescent="0.3">
      <c r="A82" s="18" t="s">
        <v>67</v>
      </c>
      <c r="B82" s="19" t="s">
        <v>33</v>
      </c>
      <c r="C82" s="19" t="s">
        <v>266</v>
      </c>
      <c r="D82" s="19" t="s">
        <v>73</v>
      </c>
      <c r="E82" s="19" t="s">
        <v>69</v>
      </c>
      <c r="F82" s="18">
        <v>3</v>
      </c>
      <c r="G82" s="19" t="s">
        <v>270</v>
      </c>
      <c r="H82" s="19" t="s">
        <v>268</v>
      </c>
      <c r="I82" s="19" t="s">
        <v>271</v>
      </c>
    </row>
    <row r="83" spans="1:9" ht="27.75" customHeight="1" x14ac:dyDescent="0.3">
      <c r="A83" s="16" t="s">
        <v>67</v>
      </c>
      <c r="B83" s="17" t="s">
        <v>33</v>
      </c>
      <c r="C83" s="17" t="s">
        <v>266</v>
      </c>
      <c r="D83" s="17" t="s">
        <v>77</v>
      </c>
      <c r="E83" s="17" t="s">
        <v>87</v>
      </c>
      <c r="F83" s="16">
        <v>1</v>
      </c>
      <c r="G83" s="17" t="s">
        <v>272</v>
      </c>
      <c r="H83" s="17" t="s">
        <v>268</v>
      </c>
      <c r="I83" s="17" t="s">
        <v>273</v>
      </c>
    </row>
    <row r="84" spans="1:9" ht="27.75" customHeight="1" x14ac:dyDescent="0.3">
      <c r="A84" s="18" t="s">
        <v>67</v>
      </c>
      <c r="B84" s="19" t="s">
        <v>33</v>
      </c>
      <c r="C84" s="19" t="s">
        <v>266</v>
      </c>
      <c r="D84" s="19" t="s">
        <v>80</v>
      </c>
      <c r="E84" s="19" t="s">
        <v>87</v>
      </c>
      <c r="F84" s="18">
        <v>1</v>
      </c>
      <c r="G84" s="19" t="s">
        <v>154</v>
      </c>
      <c r="H84" s="19" t="s">
        <v>268</v>
      </c>
      <c r="I84" s="19" t="s">
        <v>155</v>
      </c>
    </row>
    <row r="85" spans="1:9" ht="27.75" customHeight="1" x14ac:dyDescent="0.3">
      <c r="A85" s="16" t="s">
        <v>67</v>
      </c>
      <c r="B85" s="17" t="s">
        <v>34</v>
      </c>
      <c r="C85" s="17" t="s">
        <v>274</v>
      </c>
      <c r="D85" s="17" t="s">
        <v>68</v>
      </c>
      <c r="E85" s="17" t="s">
        <v>69</v>
      </c>
      <c r="F85" s="16">
        <v>3</v>
      </c>
      <c r="G85" s="17" t="s">
        <v>275</v>
      </c>
      <c r="H85" s="17" t="s">
        <v>276</v>
      </c>
      <c r="I85" s="17" t="s">
        <v>277</v>
      </c>
    </row>
    <row r="86" spans="1:9" ht="27.75" customHeight="1" x14ac:dyDescent="0.3">
      <c r="A86" s="18" t="s">
        <v>67</v>
      </c>
      <c r="B86" s="19" t="s">
        <v>34</v>
      </c>
      <c r="C86" s="19" t="s">
        <v>274</v>
      </c>
      <c r="D86" s="19" t="s">
        <v>73</v>
      </c>
      <c r="E86" s="19" t="s">
        <v>87</v>
      </c>
      <c r="F86" s="18">
        <v>1</v>
      </c>
      <c r="G86" s="19" t="s">
        <v>278</v>
      </c>
      <c r="H86" s="19" t="s">
        <v>276</v>
      </c>
      <c r="I86" s="19" t="s">
        <v>279</v>
      </c>
    </row>
    <row r="87" spans="1:9" ht="27.75" customHeight="1" x14ac:dyDescent="0.3">
      <c r="A87" s="16" t="s">
        <v>67</v>
      </c>
      <c r="B87" s="17" t="s">
        <v>34</v>
      </c>
      <c r="C87" s="17" t="s">
        <v>274</v>
      </c>
      <c r="D87" s="17" t="s">
        <v>77</v>
      </c>
      <c r="E87" s="17" t="s">
        <v>87</v>
      </c>
      <c r="F87" s="16">
        <v>1</v>
      </c>
      <c r="G87" s="17" t="s">
        <v>280</v>
      </c>
      <c r="H87" s="17" t="s">
        <v>276</v>
      </c>
      <c r="I87" s="17" t="s">
        <v>281</v>
      </c>
    </row>
    <row r="88" spans="1:9" ht="27.75" customHeight="1" x14ac:dyDescent="0.3">
      <c r="A88" s="18" t="s">
        <v>67</v>
      </c>
      <c r="B88" s="19" t="s">
        <v>34</v>
      </c>
      <c r="C88" s="19" t="s">
        <v>274</v>
      </c>
      <c r="D88" s="19" t="s">
        <v>80</v>
      </c>
      <c r="E88" s="19" t="s">
        <v>87</v>
      </c>
      <c r="F88" s="18">
        <v>1</v>
      </c>
      <c r="G88" s="19" t="s">
        <v>282</v>
      </c>
      <c r="H88" s="19" t="s">
        <v>276</v>
      </c>
      <c r="I88" s="19" t="s">
        <v>283</v>
      </c>
    </row>
    <row r="89" spans="1:9" ht="27.75" customHeight="1" x14ac:dyDescent="0.3">
      <c r="A89" s="16" t="s">
        <v>67</v>
      </c>
      <c r="B89" s="17" t="s">
        <v>35</v>
      </c>
      <c r="C89" s="17" t="s">
        <v>284</v>
      </c>
      <c r="D89" s="17" t="s">
        <v>68</v>
      </c>
      <c r="E89" s="17" t="s">
        <v>69</v>
      </c>
      <c r="F89" s="16">
        <v>3</v>
      </c>
      <c r="G89" s="17" t="s">
        <v>285</v>
      </c>
      <c r="H89" s="17" t="s">
        <v>286</v>
      </c>
      <c r="I89" s="17" t="s">
        <v>287</v>
      </c>
    </row>
    <row r="90" spans="1:9" ht="27.75" customHeight="1" x14ac:dyDescent="0.3">
      <c r="A90" s="18" t="s">
        <v>67</v>
      </c>
      <c r="B90" s="19" t="s">
        <v>35</v>
      </c>
      <c r="C90" s="19" t="s">
        <v>284</v>
      </c>
      <c r="D90" s="19" t="s">
        <v>73</v>
      </c>
      <c r="E90" s="19" t="s">
        <v>87</v>
      </c>
      <c r="F90" s="18">
        <v>1</v>
      </c>
      <c r="G90" s="19" t="s">
        <v>288</v>
      </c>
      <c r="H90" s="19" t="s">
        <v>286</v>
      </c>
      <c r="I90" s="19" t="s">
        <v>289</v>
      </c>
    </row>
    <row r="91" spans="1:9" ht="27.75" customHeight="1" x14ac:dyDescent="0.3">
      <c r="A91" s="16" t="s">
        <v>67</v>
      </c>
      <c r="B91" s="17" t="s">
        <v>35</v>
      </c>
      <c r="C91" s="17" t="s">
        <v>284</v>
      </c>
      <c r="D91" s="17" t="s">
        <v>77</v>
      </c>
      <c r="E91" s="17" t="s">
        <v>90</v>
      </c>
      <c r="F91" s="16">
        <v>2</v>
      </c>
      <c r="G91" s="17" t="s">
        <v>290</v>
      </c>
      <c r="H91" s="17" t="s">
        <v>286</v>
      </c>
      <c r="I91" s="17" t="s">
        <v>291</v>
      </c>
    </row>
    <row r="92" spans="1:9" ht="27.75" customHeight="1" x14ac:dyDescent="0.3">
      <c r="A92" s="18" t="s">
        <v>67</v>
      </c>
      <c r="B92" s="19" t="s">
        <v>35</v>
      </c>
      <c r="C92" s="19" t="s">
        <v>284</v>
      </c>
      <c r="D92" s="19" t="s">
        <v>80</v>
      </c>
      <c r="E92" s="19" t="s">
        <v>87</v>
      </c>
      <c r="F92" s="18">
        <v>1</v>
      </c>
      <c r="G92" s="19" t="s">
        <v>292</v>
      </c>
      <c r="H92" s="19" t="s">
        <v>286</v>
      </c>
      <c r="I92" s="19" t="s">
        <v>293</v>
      </c>
    </row>
    <row r="93" spans="1:9" ht="27.75" customHeight="1" x14ac:dyDescent="0.3">
      <c r="A93" s="16" t="s">
        <v>67</v>
      </c>
      <c r="B93" s="17" t="s">
        <v>36</v>
      </c>
      <c r="C93" s="17" t="s">
        <v>294</v>
      </c>
      <c r="D93" s="17" t="s">
        <v>68</v>
      </c>
      <c r="E93" s="17" t="s">
        <v>74</v>
      </c>
      <c r="F93" s="16">
        <v>2.5</v>
      </c>
      <c r="G93" s="17" t="s">
        <v>295</v>
      </c>
      <c r="H93" s="17" t="s">
        <v>296</v>
      </c>
      <c r="I93" s="17" t="s">
        <v>297</v>
      </c>
    </row>
    <row r="94" spans="1:9" ht="27.75" customHeight="1" x14ac:dyDescent="0.3">
      <c r="A94" s="18" t="s">
        <v>67</v>
      </c>
      <c r="B94" s="19" t="s">
        <v>36</v>
      </c>
      <c r="C94" s="19" t="s">
        <v>294</v>
      </c>
      <c r="D94" s="19" t="s">
        <v>73</v>
      </c>
      <c r="E94" s="19" t="s">
        <v>90</v>
      </c>
      <c r="F94" s="18">
        <v>2</v>
      </c>
      <c r="G94" s="19" t="s">
        <v>298</v>
      </c>
      <c r="H94" s="19" t="s">
        <v>296</v>
      </c>
      <c r="I94" s="19" t="s">
        <v>299</v>
      </c>
    </row>
    <row r="95" spans="1:9" ht="27.75" customHeight="1" x14ac:dyDescent="0.3">
      <c r="A95" s="16" t="s">
        <v>67</v>
      </c>
      <c r="B95" s="17" t="s">
        <v>36</v>
      </c>
      <c r="C95" s="17" t="s">
        <v>294</v>
      </c>
      <c r="D95" s="17" t="s">
        <v>77</v>
      </c>
      <c r="E95" s="17" t="s">
        <v>90</v>
      </c>
      <c r="F95" s="16">
        <v>2</v>
      </c>
      <c r="G95" s="17" t="s">
        <v>300</v>
      </c>
      <c r="H95" s="17" t="s">
        <v>296</v>
      </c>
      <c r="I95" s="17" t="s">
        <v>301</v>
      </c>
    </row>
    <row r="96" spans="1:9" ht="27.75" customHeight="1" x14ac:dyDescent="0.3">
      <c r="A96" s="18" t="s">
        <v>67</v>
      </c>
      <c r="B96" s="19" t="s">
        <v>36</v>
      </c>
      <c r="C96" s="19" t="s">
        <v>294</v>
      </c>
      <c r="D96" s="19" t="s">
        <v>80</v>
      </c>
      <c r="E96" s="19" t="s">
        <v>69</v>
      </c>
      <c r="F96" s="18">
        <v>3</v>
      </c>
      <c r="G96" s="19" t="s">
        <v>302</v>
      </c>
      <c r="H96" s="19" t="s">
        <v>296</v>
      </c>
      <c r="I96" s="19" t="s">
        <v>303</v>
      </c>
    </row>
    <row r="97" spans="1:9" ht="27.75" customHeight="1" x14ac:dyDescent="0.3">
      <c r="A97" s="16" t="s">
        <v>67</v>
      </c>
      <c r="B97" s="17" t="s">
        <v>37</v>
      </c>
      <c r="C97" s="17" t="s">
        <v>304</v>
      </c>
      <c r="D97" s="17" t="s">
        <v>68</v>
      </c>
      <c r="E97" s="17" t="s">
        <v>90</v>
      </c>
      <c r="F97" s="16">
        <v>2</v>
      </c>
      <c r="G97" s="17" t="s">
        <v>305</v>
      </c>
      <c r="H97" s="17" t="s">
        <v>306</v>
      </c>
      <c r="I97" s="17" t="s">
        <v>307</v>
      </c>
    </row>
    <row r="98" spans="1:9" ht="27.75" customHeight="1" x14ac:dyDescent="0.3">
      <c r="A98" s="18" t="s">
        <v>67</v>
      </c>
      <c r="B98" s="19" t="s">
        <v>37</v>
      </c>
      <c r="C98" s="19" t="s">
        <v>304</v>
      </c>
      <c r="D98" s="19" t="s">
        <v>73</v>
      </c>
      <c r="E98" s="19" t="s">
        <v>90</v>
      </c>
      <c r="F98" s="18">
        <v>2</v>
      </c>
      <c r="G98" s="19" t="s">
        <v>308</v>
      </c>
      <c r="H98" s="19" t="s">
        <v>306</v>
      </c>
      <c r="I98" s="19" t="s">
        <v>309</v>
      </c>
    </row>
    <row r="99" spans="1:9" ht="27.75" customHeight="1" x14ac:dyDescent="0.3">
      <c r="A99" s="16" t="s">
        <v>67</v>
      </c>
      <c r="B99" s="17" t="s">
        <v>37</v>
      </c>
      <c r="C99" s="17" t="s">
        <v>304</v>
      </c>
      <c r="D99" s="17" t="s">
        <v>77</v>
      </c>
      <c r="E99" s="17" t="s">
        <v>119</v>
      </c>
      <c r="F99" s="16">
        <v>1.5</v>
      </c>
      <c r="G99" s="17" t="s">
        <v>310</v>
      </c>
      <c r="H99" s="17" t="s">
        <v>306</v>
      </c>
      <c r="I99" s="17" t="s">
        <v>311</v>
      </c>
    </row>
    <row r="100" spans="1:9" ht="27.75" customHeight="1" x14ac:dyDescent="0.3">
      <c r="A100" s="18" t="s">
        <v>67</v>
      </c>
      <c r="B100" s="19" t="s">
        <v>37</v>
      </c>
      <c r="C100" s="19" t="s">
        <v>304</v>
      </c>
      <c r="D100" s="19" t="s">
        <v>80</v>
      </c>
      <c r="E100" s="19" t="s">
        <v>90</v>
      </c>
      <c r="F100" s="18">
        <v>2</v>
      </c>
      <c r="G100" s="19" t="s">
        <v>312</v>
      </c>
      <c r="H100" s="19" t="s">
        <v>306</v>
      </c>
      <c r="I100" s="19" t="s">
        <v>313</v>
      </c>
    </row>
    <row r="101" spans="1:9" ht="27.75" customHeight="1" x14ac:dyDescent="0.3">
      <c r="A101" s="16" t="s">
        <v>67</v>
      </c>
      <c r="B101" s="17" t="s">
        <v>38</v>
      </c>
      <c r="C101" s="17" t="s">
        <v>314</v>
      </c>
      <c r="D101" s="17" t="s">
        <v>68</v>
      </c>
      <c r="E101" s="17" t="s">
        <v>90</v>
      </c>
      <c r="F101" s="16">
        <v>2</v>
      </c>
      <c r="G101" s="17" t="s">
        <v>315</v>
      </c>
      <c r="H101" s="17" t="s">
        <v>316</v>
      </c>
      <c r="I101" s="17" t="s">
        <v>317</v>
      </c>
    </row>
    <row r="102" spans="1:9" ht="27.75" customHeight="1" x14ac:dyDescent="0.3">
      <c r="A102" s="18" t="s">
        <v>67</v>
      </c>
      <c r="B102" s="19" t="s">
        <v>38</v>
      </c>
      <c r="C102" s="19" t="s">
        <v>314</v>
      </c>
      <c r="D102" s="19" t="s">
        <v>73</v>
      </c>
      <c r="E102" s="19" t="s">
        <v>119</v>
      </c>
      <c r="F102" s="18">
        <v>1.5</v>
      </c>
      <c r="G102" s="19" t="s">
        <v>318</v>
      </c>
      <c r="H102" s="19" t="s">
        <v>316</v>
      </c>
      <c r="I102" s="19" t="s">
        <v>319</v>
      </c>
    </row>
    <row r="103" spans="1:9" ht="27.75" customHeight="1" x14ac:dyDescent="0.3">
      <c r="A103" s="16" t="s">
        <v>67</v>
      </c>
      <c r="B103" s="17" t="s">
        <v>38</v>
      </c>
      <c r="C103" s="17" t="s">
        <v>314</v>
      </c>
      <c r="D103" s="17" t="s">
        <v>77</v>
      </c>
      <c r="E103" s="17" t="s">
        <v>90</v>
      </c>
      <c r="F103" s="16">
        <v>2</v>
      </c>
      <c r="G103" s="17" t="s">
        <v>320</v>
      </c>
      <c r="H103" s="17" t="s">
        <v>316</v>
      </c>
      <c r="I103" s="17" t="s">
        <v>321</v>
      </c>
    </row>
    <row r="104" spans="1:9" ht="27.75" customHeight="1" x14ac:dyDescent="0.3">
      <c r="A104" s="18" t="s">
        <v>67</v>
      </c>
      <c r="B104" s="19" t="s">
        <v>38</v>
      </c>
      <c r="C104" s="19" t="s">
        <v>314</v>
      </c>
      <c r="D104" s="19" t="s">
        <v>80</v>
      </c>
      <c r="E104" s="19" t="s">
        <v>90</v>
      </c>
      <c r="F104" s="18">
        <v>2</v>
      </c>
      <c r="G104" s="19" t="s">
        <v>322</v>
      </c>
      <c r="H104" s="19" t="s">
        <v>316</v>
      </c>
      <c r="I104" s="19" t="s">
        <v>323</v>
      </c>
    </row>
    <row r="105" spans="1:9" ht="27.75" customHeight="1" x14ac:dyDescent="0.3">
      <c r="A105" s="16" t="s">
        <v>67</v>
      </c>
      <c r="B105" s="17" t="s">
        <v>39</v>
      </c>
      <c r="C105" s="17" t="s">
        <v>324</v>
      </c>
      <c r="D105" s="17" t="s">
        <v>68</v>
      </c>
      <c r="E105" s="17" t="s">
        <v>90</v>
      </c>
      <c r="F105" s="16">
        <v>2</v>
      </c>
      <c r="G105" s="17" t="s">
        <v>325</v>
      </c>
      <c r="H105" s="17" t="s">
        <v>326</v>
      </c>
      <c r="I105" s="17" t="s">
        <v>327</v>
      </c>
    </row>
    <row r="106" spans="1:9" ht="27.75" customHeight="1" x14ac:dyDescent="0.3">
      <c r="A106" s="18" t="s">
        <v>67</v>
      </c>
      <c r="B106" s="19" t="s">
        <v>39</v>
      </c>
      <c r="C106" s="19" t="s">
        <v>324</v>
      </c>
      <c r="D106" s="19" t="s">
        <v>73</v>
      </c>
      <c r="E106" s="19" t="s">
        <v>69</v>
      </c>
      <c r="F106" s="18">
        <v>3</v>
      </c>
      <c r="G106" s="19" t="s">
        <v>328</v>
      </c>
      <c r="H106" s="19" t="s">
        <v>326</v>
      </c>
      <c r="I106" s="19" t="s">
        <v>329</v>
      </c>
    </row>
    <row r="107" spans="1:9" ht="27.75" customHeight="1" x14ac:dyDescent="0.3">
      <c r="A107" s="16" t="s">
        <v>67</v>
      </c>
      <c r="B107" s="17" t="s">
        <v>39</v>
      </c>
      <c r="C107" s="17" t="s">
        <v>324</v>
      </c>
      <c r="D107" s="17" t="s">
        <v>77</v>
      </c>
      <c r="E107" s="17" t="s">
        <v>90</v>
      </c>
      <c r="F107" s="16">
        <v>2</v>
      </c>
      <c r="G107" s="17" t="s">
        <v>330</v>
      </c>
      <c r="H107" s="17" t="s">
        <v>326</v>
      </c>
      <c r="I107" s="17" t="s">
        <v>331</v>
      </c>
    </row>
    <row r="108" spans="1:9" ht="27.75" customHeight="1" x14ac:dyDescent="0.3">
      <c r="A108" s="18" t="s">
        <v>67</v>
      </c>
      <c r="B108" s="19" t="s">
        <v>39</v>
      </c>
      <c r="C108" s="19" t="s">
        <v>324</v>
      </c>
      <c r="D108" s="19" t="s">
        <v>80</v>
      </c>
      <c r="E108" s="19" t="s">
        <v>90</v>
      </c>
      <c r="F108" s="18">
        <v>2</v>
      </c>
      <c r="G108" s="19" t="s">
        <v>332</v>
      </c>
      <c r="H108" s="19" t="s">
        <v>326</v>
      </c>
      <c r="I108" s="19" t="s">
        <v>333</v>
      </c>
    </row>
    <row r="109" spans="1:9" ht="27.75" customHeight="1" x14ac:dyDescent="0.3">
      <c r="A109" s="16" t="s">
        <v>67</v>
      </c>
      <c r="B109" s="17" t="s">
        <v>40</v>
      </c>
      <c r="C109" s="17" t="s">
        <v>334</v>
      </c>
      <c r="D109" s="17" t="s">
        <v>68</v>
      </c>
      <c r="E109" s="17" t="s">
        <v>69</v>
      </c>
      <c r="F109" s="16">
        <v>3</v>
      </c>
      <c r="G109" s="17" t="s">
        <v>335</v>
      </c>
      <c r="H109" s="17" t="s">
        <v>336</v>
      </c>
      <c r="I109" s="17" t="s">
        <v>337</v>
      </c>
    </row>
    <row r="110" spans="1:9" ht="27.75" customHeight="1" x14ac:dyDescent="0.3">
      <c r="A110" s="18" t="s">
        <v>67</v>
      </c>
      <c r="B110" s="19" t="s">
        <v>40</v>
      </c>
      <c r="C110" s="19" t="s">
        <v>334</v>
      </c>
      <c r="D110" s="19" t="s">
        <v>73</v>
      </c>
      <c r="E110" s="19" t="s">
        <v>119</v>
      </c>
      <c r="F110" s="18">
        <v>1.5</v>
      </c>
      <c r="G110" s="19" t="s">
        <v>338</v>
      </c>
      <c r="H110" s="19" t="s">
        <v>336</v>
      </c>
      <c r="I110" s="19" t="s">
        <v>339</v>
      </c>
    </row>
    <row r="111" spans="1:9" ht="27.75" customHeight="1" x14ac:dyDescent="0.3">
      <c r="A111" s="16" t="s">
        <v>67</v>
      </c>
      <c r="B111" s="17" t="s">
        <v>40</v>
      </c>
      <c r="C111" s="17" t="s">
        <v>334</v>
      </c>
      <c r="D111" s="17" t="s">
        <v>77</v>
      </c>
      <c r="E111" s="17" t="s">
        <v>90</v>
      </c>
      <c r="F111" s="16">
        <v>2</v>
      </c>
      <c r="G111" s="17" t="s">
        <v>340</v>
      </c>
      <c r="H111" s="17" t="s">
        <v>336</v>
      </c>
      <c r="I111" s="17" t="s">
        <v>341</v>
      </c>
    </row>
    <row r="112" spans="1:9" ht="27.75" customHeight="1" x14ac:dyDescent="0.3">
      <c r="A112" s="18" t="s">
        <v>67</v>
      </c>
      <c r="B112" s="19" t="s">
        <v>40</v>
      </c>
      <c r="C112" s="19" t="s">
        <v>334</v>
      </c>
      <c r="D112" s="19" t="s">
        <v>80</v>
      </c>
      <c r="E112" s="19" t="s">
        <v>90</v>
      </c>
      <c r="F112" s="18">
        <v>2</v>
      </c>
      <c r="G112" s="19" t="s">
        <v>342</v>
      </c>
      <c r="H112" s="19" t="s">
        <v>336</v>
      </c>
      <c r="I112" s="19" t="s">
        <v>343</v>
      </c>
    </row>
    <row r="113" spans="1:9" ht="27.75" customHeight="1" x14ac:dyDescent="0.3">
      <c r="A113" s="16" t="s">
        <v>67</v>
      </c>
      <c r="B113" s="17" t="s">
        <v>41</v>
      </c>
      <c r="C113" s="17" t="s">
        <v>344</v>
      </c>
      <c r="D113" s="17" t="s">
        <v>68</v>
      </c>
      <c r="E113" s="17" t="s">
        <v>69</v>
      </c>
      <c r="F113" s="16">
        <v>3</v>
      </c>
      <c r="G113" s="17" t="s">
        <v>345</v>
      </c>
      <c r="H113" s="17" t="s">
        <v>346</v>
      </c>
      <c r="I113" s="17" t="s">
        <v>347</v>
      </c>
    </row>
    <row r="114" spans="1:9" ht="27.75" customHeight="1" x14ac:dyDescent="0.3">
      <c r="A114" s="18" t="s">
        <v>67</v>
      </c>
      <c r="B114" s="19" t="s">
        <v>41</v>
      </c>
      <c r="C114" s="19" t="s">
        <v>344</v>
      </c>
      <c r="D114" s="19" t="s">
        <v>73</v>
      </c>
      <c r="E114" s="19" t="s">
        <v>69</v>
      </c>
      <c r="F114" s="18">
        <v>3</v>
      </c>
      <c r="G114" s="19" t="s">
        <v>348</v>
      </c>
      <c r="H114" s="19" t="s">
        <v>346</v>
      </c>
      <c r="I114" s="19" t="s">
        <v>349</v>
      </c>
    </row>
    <row r="115" spans="1:9" ht="27.75" customHeight="1" x14ac:dyDescent="0.3">
      <c r="A115" s="16" t="s">
        <v>67</v>
      </c>
      <c r="B115" s="17" t="s">
        <v>41</v>
      </c>
      <c r="C115" s="17" t="s">
        <v>344</v>
      </c>
      <c r="D115" s="17" t="s">
        <v>77</v>
      </c>
      <c r="E115" s="17" t="s">
        <v>74</v>
      </c>
      <c r="F115" s="16">
        <v>2.5</v>
      </c>
      <c r="G115" s="17" t="s">
        <v>350</v>
      </c>
      <c r="H115" s="17" t="s">
        <v>346</v>
      </c>
      <c r="I115" s="17" t="s">
        <v>351</v>
      </c>
    </row>
    <row r="116" spans="1:9" ht="27.75" customHeight="1" x14ac:dyDescent="0.3">
      <c r="A116" s="18" t="s">
        <v>67</v>
      </c>
      <c r="B116" s="19" t="s">
        <v>41</v>
      </c>
      <c r="C116" s="19" t="s">
        <v>344</v>
      </c>
      <c r="D116" s="19" t="s">
        <v>80</v>
      </c>
      <c r="E116" s="19" t="s">
        <v>69</v>
      </c>
      <c r="F116" s="18">
        <v>3</v>
      </c>
      <c r="G116" s="19" t="s">
        <v>352</v>
      </c>
      <c r="H116" s="19" t="s">
        <v>346</v>
      </c>
      <c r="I116" s="19" t="s">
        <v>353</v>
      </c>
    </row>
    <row r="117" spans="1:9" ht="27.75" customHeight="1" x14ac:dyDescent="0.3">
      <c r="A117" s="16" t="s">
        <v>67</v>
      </c>
      <c r="B117" s="17" t="s">
        <v>354</v>
      </c>
      <c r="C117" s="17" t="s">
        <v>355</v>
      </c>
      <c r="D117" s="17" t="s">
        <v>68</v>
      </c>
      <c r="E117" s="17" t="s">
        <v>69</v>
      </c>
      <c r="F117" s="16">
        <v>3</v>
      </c>
      <c r="G117" s="17" t="s">
        <v>356</v>
      </c>
      <c r="H117" s="17" t="s">
        <v>357</v>
      </c>
      <c r="I117" s="17" t="s">
        <v>358</v>
      </c>
    </row>
    <row r="118" spans="1:9" ht="27.75" customHeight="1" x14ac:dyDescent="0.3">
      <c r="A118" s="18" t="s">
        <v>67</v>
      </c>
      <c r="B118" s="19" t="s">
        <v>354</v>
      </c>
      <c r="C118" s="19" t="s">
        <v>355</v>
      </c>
      <c r="D118" s="19" t="s">
        <v>73</v>
      </c>
      <c r="E118" s="19" t="s">
        <v>87</v>
      </c>
      <c r="F118" s="18">
        <v>1</v>
      </c>
      <c r="G118" s="19" t="s">
        <v>359</v>
      </c>
      <c r="H118" s="19" t="s">
        <v>357</v>
      </c>
      <c r="I118" s="19" t="s">
        <v>360</v>
      </c>
    </row>
    <row r="119" spans="1:9" ht="27.75" customHeight="1" x14ac:dyDescent="0.3">
      <c r="A119" s="16" t="s">
        <v>67</v>
      </c>
      <c r="B119" s="17" t="s">
        <v>354</v>
      </c>
      <c r="C119" s="17" t="s">
        <v>355</v>
      </c>
      <c r="D119" s="17" t="s">
        <v>77</v>
      </c>
      <c r="E119" s="17" t="s">
        <v>87</v>
      </c>
      <c r="F119" s="16">
        <v>1</v>
      </c>
      <c r="G119" s="17" t="s">
        <v>361</v>
      </c>
      <c r="H119" s="17" t="s">
        <v>357</v>
      </c>
      <c r="I119" s="17" t="s">
        <v>362</v>
      </c>
    </row>
    <row r="120" spans="1:9" ht="27.75" customHeight="1" x14ac:dyDescent="0.3">
      <c r="A120" s="18" t="s">
        <v>67</v>
      </c>
      <c r="B120" s="19" t="s">
        <v>354</v>
      </c>
      <c r="C120" s="19" t="s">
        <v>355</v>
      </c>
      <c r="D120" s="19" t="s">
        <v>80</v>
      </c>
      <c r="E120" s="19" t="s">
        <v>87</v>
      </c>
      <c r="F120" s="18">
        <v>1</v>
      </c>
      <c r="G120" s="19" t="s">
        <v>363</v>
      </c>
      <c r="H120" s="19" t="s">
        <v>357</v>
      </c>
      <c r="I120" s="19" t="s">
        <v>364</v>
      </c>
    </row>
    <row r="121" spans="1:9" ht="27.75" customHeight="1" x14ac:dyDescent="0.3">
      <c r="A121" s="16" t="s">
        <v>67</v>
      </c>
      <c r="B121" s="17" t="s">
        <v>48</v>
      </c>
      <c r="C121" s="17" t="s">
        <v>365</v>
      </c>
      <c r="D121" s="17" t="s">
        <v>68</v>
      </c>
      <c r="E121" s="17" t="s">
        <v>90</v>
      </c>
      <c r="F121" s="16">
        <v>2</v>
      </c>
      <c r="G121" s="17" t="s">
        <v>366</v>
      </c>
      <c r="H121" s="17" t="s">
        <v>367</v>
      </c>
      <c r="I121" s="17" t="s">
        <v>368</v>
      </c>
    </row>
    <row r="122" spans="1:9" ht="27.75" customHeight="1" x14ac:dyDescent="0.3">
      <c r="A122" s="18" t="s">
        <v>67</v>
      </c>
      <c r="B122" s="19" t="s">
        <v>48</v>
      </c>
      <c r="C122" s="19" t="s">
        <v>365</v>
      </c>
      <c r="D122" s="19" t="s">
        <v>73</v>
      </c>
      <c r="E122" s="19" t="s">
        <v>90</v>
      </c>
      <c r="F122" s="18">
        <v>2</v>
      </c>
      <c r="G122" s="19" t="s">
        <v>369</v>
      </c>
      <c r="H122" s="19" t="s">
        <v>367</v>
      </c>
      <c r="I122" s="19" t="s">
        <v>370</v>
      </c>
    </row>
    <row r="123" spans="1:9" ht="27.75" customHeight="1" x14ac:dyDescent="0.3">
      <c r="A123" s="16" t="s">
        <v>67</v>
      </c>
      <c r="B123" s="17" t="s">
        <v>48</v>
      </c>
      <c r="C123" s="17" t="s">
        <v>365</v>
      </c>
      <c r="D123" s="17" t="s">
        <v>77</v>
      </c>
      <c r="E123" s="17" t="s">
        <v>90</v>
      </c>
      <c r="F123" s="16">
        <v>2</v>
      </c>
      <c r="G123" s="17" t="s">
        <v>371</v>
      </c>
      <c r="H123" s="17" t="s">
        <v>367</v>
      </c>
      <c r="I123" s="17" t="s">
        <v>372</v>
      </c>
    </row>
    <row r="124" spans="1:9" ht="27.75" customHeight="1" x14ac:dyDescent="0.3">
      <c r="A124" s="18" t="s">
        <v>67</v>
      </c>
      <c r="B124" s="19" t="s">
        <v>48</v>
      </c>
      <c r="C124" s="19" t="s">
        <v>365</v>
      </c>
      <c r="D124" s="19" t="s">
        <v>80</v>
      </c>
      <c r="E124" s="19" t="s">
        <v>90</v>
      </c>
      <c r="F124" s="18">
        <v>2</v>
      </c>
      <c r="G124" s="19" t="s">
        <v>373</v>
      </c>
      <c r="H124" s="19" t="s">
        <v>367</v>
      </c>
      <c r="I124" s="19" t="s">
        <v>374</v>
      </c>
    </row>
    <row r="125" spans="1:9" ht="27.75" customHeight="1" x14ac:dyDescent="0.3">
      <c r="A125" s="16" t="s">
        <v>67</v>
      </c>
      <c r="B125" s="17" t="s">
        <v>375</v>
      </c>
      <c r="C125" s="17" t="s">
        <v>376</v>
      </c>
      <c r="D125" s="17" t="s">
        <v>68</v>
      </c>
      <c r="E125" s="17" t="s">
        <v>69</v>
      </c>
      <c r="F125" s="16">
        <v>3</v>
      </c>
      <c r="G125" s="17" t="s">
        <v>377</v>
      </c>
      <c r="H125" s="17" t="s">
        <v>378</v>
      </c>
      <c r="I125" s="17" t="s">
        <v>379</v>
      </c>
    </row>
    <row r="126" spans="1:9" ht="27.75" customHeight="1" x14ac:dyDescent="0.3">
      <c r="A126" s="18" t="s">
        <v>67</v>
      </c>
      <c r="B126" s="19" t="s">
        <v>375</v>
      </c>
      <c r="C126" s="19" t="s">
        <v>376</v>
      </c>
      <c r="D126" s="19" t="s">
        <v>73</v>
      </c>
      <c r="E126" s="19" t="s">
        <v>87</v>
      </c>
      <c r="F126" s="18">
        <v>1</v>
      </c>
      <c r="G126" s="19" t="s">
        <v>380</v>
      </c>
      <c r="H126" s="19" t="s">
        <v>378</v>
      </c>
      <c r="I126" s="19" t="s">
        <v>381</v>
      </c>
    </row>
    <row r="127" spans="1:9" ht="27.75" customHeight="1" x14ac:dyDescent="0.3">
      <c r="A127" s="16" t="s">
        <v>67</v>
      </c>
      <c r="B127" s="17" t="s">
        <v>375</v>
      </c>
      <c r="C127" s="17" t="s">
        <v>376</v>
      </c>
      <c r="D127" s="17" t="s">
        <v>77</v>
      </c>
      <c r="E127" s="17" t="s">
        <v>90</v>
      </c>
      <c r="F127" s="16">
        <v>2</v>
      </c>
      <c r="G127" s="17" t="s">
        <v>382</v>
      </c>
      <c r="H127" s="17" t="s">
        <v>378</v>
      </c>
      <c r="I127" s="17" t="s">
        <v>383</v>
      </c>
    </row>
    <row r="128" spans="1:9" ht="27.75" customHeight="1" x14ac:dyDescent="0.3">
      <c r="A128" s="18" t="s">
        <v>67</v>
      </c>
      <c r="B128" s="19" t="s">
        <v>375</v>
      </c>
      <c r="C128" s="19" t="s">
        <v>376</v>
      </c>
      <c r="D128" s="19" t="s">
        <v>80</v>
      </c>
      <c r="E128" s="19" t="s">
        <v>87</v>
      </c>
      <c r="F128" s="18">
        <v>1</v>
      </c>
      <c r="G128" s="19" t="s">
        <v>384</v>
      </c>
      <c r="H128" s="19" t="s">
        <v>378</v>
      </c>
      <c r="I128" s="19" t="s">
        <v>385</v>
      </c>
    </row>
    <row r="129" spans="1:9" ht="27.75" customHeight="1" x14ac:dyDescent="0.3">
      <c r="A129" s="16" t="s">
        <v>386</v>
      </c>
      <c r="B129" s="17" t="s">
        <v>12</v>
      </c>
      <c r="C129" s="17" t="s">
        <v>57</v>
      </c>
      <c r="D129" s="17" t="s">
        <v>68</v>
      </c>
      <c r="E129" s="17" t="s">
        <v>69</v>
      </c>
      <c r="F129" s="16">
        <v>3</v>
      </c>
      <c r="G129" s="17" t="s">
        <v>70</v>
      </c>
      <c r="H129" s="17" t="s">
        <v>71</v>
      </c>
      <c r="I129" s="17" t="s">
        <v>72</v>
      </c>
    </row>
    <row r="130" spans="1:9" ht="27.75" customHeight="1" x14ac:dyDescent="0.3">
      <c r="A130" s="18" t="s">
        <v>386</v>
      </c>
      <c r="B130" s="19" t="s">
        <v>12</v>
      </c>
      <c r="C130" s="19" t="s">
        <v>57</v>
      </c>
      <c r="D130" s="19" t="s">
        <v>73</v>
      </c>
      <c r="E130" s="19" t="s">
        <v>74</v>
      </c>
      <c r="F130" s="18">
        <v>2.5</v>
      </c>
      <c r="G130" s="19" t="s">
        <v>75</v>
      </c>
      <c r="H130" s="19" t="s">
        <v>71</v>
      </c>
      <c r="I130" s="19" t="s">
        <v>76</v>
      </c>
    </row>
    <row r="131" spans="1:9" ht="27.75" customHeight="1" x14ac:dyDescent="0.3">
      <c r="A131" s="16" t="s">
        <v>386</v>
      </c>
      <c r="B131" s="17" t="s">
        <v>12</v>
      </c>
      <c r="C131" s="17" t="s">
        <v>57</v>
      </c>
      <c r="D131" s="17" t="s">
        <v>77</v>
      </c>
      <c r="E131" s="17" t="s">
        <v>69</v>
      </c>
      <c r="F131" s="16">
        <v>3</v>
      </c>
      <c r="G131" s="17" t="s">
        <v>78</v>
      </c>
      <c r="H131" s="17" t="s">
        <v>71</v>
      </c>
      <c r="I131" s="17" t="s">
        <v>79</v>
      </c>
    </row>
    <row r="132" spans="1:9" ht="27.75" customHeight="1" x14ac:dyDescent="0.3">
      <c r="A132" s="18" t="s">
        <v>386</v>
      </c>
      <c r="B132" s="19" t="s">
        <v>12</v>
      </c>
      <c r="C132" s="19" t="s">
        <v>57</v>
      </c>
      <c r="D132" s="19" t="s">
        <v>80</v>
      </c>
      <c r="E132" s="19" t="s">
        <v>69</v>
      </c>
      <c r="F132" s="18">
        <v>3</v>
      </c>
      <c r="G132" s="19" t="s">
        <v>81</v>
      </c>
      <c r="H132" s="19" t="s">
        <v>71</v>
      </c>
      <c r="I132" s="19" t="s">
        <v>82</v>
      </c>
    </row>
    <row r="133" spans="1:9" ht="27.75" customHeight="1" x14ac:dyDescent="0.3">
      <c r="A133" s="16" t="s">
        <v>386</v>
      </c>
      <c r="B133" s="17" t="s">
        <v>14</v>
      </c>
      <c r="C133" s="17" t="s">
        <v>83</v>
      </c>
      <c r="D133" s="17" t="s">
        <v>68</v>
      </c>
      <c r="E133" s="17" t="s">
        <v>69</v>
      </c>
      <c r="F133" s="16">
        <v>3</v>
      </c>
      <c r="G133" s="17" t="s">
        <v>84</v>
      </c>
      <c r="H133" s="17" t="s">
        <v>85</v>
      </c>
      <c r="I133" s="17" t="s">
        <v>86</v>
      </c>
    </row>
    <row r="134" spans="1:9" ht="27.75" customHeight="1" x14ac:dyDescent="0.3">
      <c r="A134" s="18" t="s">
        <v>386</v>
      </c>
      <c r="B134" s="19" t="s">
        <v>14</v>
      </c>
      <c r="C134" s="19" t="s">
        <v>83</v>
      </c>
      <c r="D134" s="19" t="s">
        <v>73</v>
      </c>
      <c r="E134" s="19" t="s">
        <v>87</v>
      </c>
      <c r="F134" s="18">
        <v>1</v>
      </c>
      <c r="G134" s="19" t="s">
        <v>88</v>
      </c>
      <c r="H134" s="19" t="s">
        <v>85</v>
      </c>
      <c r="I134" s="19" t="s">
        <v>89</v>
      </c>
    </row>
    <row r="135" spans="1:9" ht="27.75" customHeight="1" x14ac:dyDescent="0.3">
      <c r="A135" s="16" t="s">
        <v>386</v>
      </c>
      <c r="B135" s="17" t="s">
        <v>14</v>
      </c>
      <c r="C135" s="17" t="s">
        <v>83</v>
      </c>
      <c r="D135" s="17" t="s">
        <v>77</v>
      </c>
      <c r="E135" s="17" t="s">
        <v>90</v>
      </c>
      <c r="F135" s="16">
        <v>2</v>
      </c>
      <c r="G135" s="17" t="s">
        <v>91</v>
      </c>
      <c r="H135" s="17" t="s">
        <v>85</v>
      </c>
      <c r="I135" s="17" t="s">
        <v>92</v>
      </c>
    </row>
    <row r="136" spans="1:9" ht="27.75" customHeight="1" x14ac:dyDescent="0.3">
      <c r="A136" s="18" t="s">
        <v>386</v>
      </c>
      <c r="B136" s="19" t="s">
        <v>14</v>
      </c>
      <c r="C136" s="19" t="s">
        <v>83</v>
      </c>
      <c r="D136" s="19" t="s">
        <v>80</v>
      </c>
      <c r="E136" s="19" t="s">
        <v>90</v>
      </c>
      <c r="F136" s="18">
        <v>2</v>
      </c>
      <c r="G136" s="19" t="s">
        <v>93</v>
      </c>
      <c r="H136" s="19" t="s">
        <v>85</v>
      </c>
      <c r="I136" s="19" t="s">
        <v>94</v>
      </c>
    </row>
    <row r="137" spans="1:9" ht="27.75" customHeight="1" x14ac:dyDescent="0.3">
      <c r="A137" s="16" t="s">
        <v>386</v>
      </c>
      <c r="B137" s="17" t="s">
        <v>15</v>
      </c>
      <c r="C137" s="17" t="s">
        <v>95</v>
      </c>
      <c r="D137" s="17" t="s">
        <v>68</v>
      </c>
      <c r="E137" s="17" t="s">
        <v>69</v>
      </c>
      <c r="F137" s="16">
        <v>3</v>
      </c>
      <c r="G137" s="17" t="s">
        <v>96</v>
      </c>
      <c r="H137" s="17" t="s">
        <v>97</v>
      </c>
      <c r="I137" s="17" t="s">
        <v>98</v>
      </c>
    </row>
    <row r="138" spans="1:9" ht="27.75" customHeight="1" x14ac:dyDescent="0.3">
      <c r="A138" s="18" t="s">
        <v>386</v>
      </c>
      <c r="B138" s="19" t="s">
        <v>15</v>
      </c>
      <c r="C138" s="19" t="s">
        <v>95</v>
      </c>
      <c r="D138" s="19" t="s">
        <v>73</v>
      </c>
      <c r="E138" s="19" t="s">
        <v>90</v>
      </c>
      <c r="F138" s="18">
        <v>2</v>
      </c>
      <c r="G138" s="19" t="s">
        <v>99</v>
      </c>
      <c r="H138" s="19" t="s">
        <v>97</v>
      </c>
      <c r="I138" s="19" t="s">
        <v>100</v>
      </c>
    </row>
    <row r="139" spans="1:9" ht="27.75" customHeight="1" x14ac:dyDescent="0.3">
      <c r="A139" s="16" t="s">
        <v>386</v>
      </c>
      <c r="B139" s="17" t="s">
        <v>15</v>
      </c>
      <c r="C139" s="17" t="s">
        <v>95</v>
      </c>
      <c r="D139" s="17" t="s">
        <v>77</v>
      </c>
      <c r="E139" s="17" t="s">
        <v>90</v>
      </c>
      <c r="F139" s="16">
        <v>2</v>
      </c>
      <c r="G139" s="17" t="s">
        <v>101</v>
      </c>
      <c r="H139" s="17" t="s">
        <v>97</v>
      </c>
      <c r="I139" s="17" t="s">
        <v>102</v>
      </c>
    </row>
    <row r="140" spans="1:9" ht="27.75" customHeight="1" x14ac:dyDescent="0.3">
      <c r="A140" s="18" t="s">
        <v>386</v>
      </c>
      <c r="B140" s="19" t="s">
        <v>15</v>
      </c>
      <c r="C140" s="19" t="s">
        <v>95</v>
      </c>
      <c r="D140" s="19" t="s">
        <v>80</v>
      </c>
      <c r="E140" s="19" t="s">
        <v>69</v>
      </c>
      <c r="F140" s="18">
        <v>3</v>
      </c>
      <c r="G140" s="19" t="s">
        <v>103</v>
      </c>
      <c r="H140" s="19" t="s">
        <v>97</v>
      </c>
      <c r="I140" s="19" t="s">
        <v>104</v>
      </c>
    </row>
    <row r="141" spans="1:9" ht="27.75" customHeight="1" x14ac:dyDescent="0.3">
      <c r="A141" s="16" t="s">
        <v>386</v>
      </c>
      <c r="B141" s="17" t="s">
        <v>16</v>
      </c>
      <c r="C141" s="17" t="s">
        <v>105</v>
      </c>
      <c r="D141" s="17" t="s">
        <v>68</v>
      </c>
      <c r="E141" s="17" t="s">
        <v>69</v>
      </c>
      <c r="F141" s="16">
        <v>3</v>
      </c>
      <c r="G141" s="17" t="s">
        <v>106</v>
      </c>
      <c r="H141" s="17" t="s">
        <v>107</v>
      </c>
      <c r="I141" s="17" t="s">
        <v>108</v>
      </c>
    </row>
    <row r="142" spans="1:9" ht="27.75" customHeight="1" x14ac:dyDescent="0.3">
      <c r="A142" s="18" t="s">
        <v>386</v>
      </c>
      <c r="B142" s="19" t="s">
        <v>16</v>
      </c>
      <c r="C142" s="19" t="s">
        <v>105</v>
      </c>
      <c r="D142" s="19" t="s">
        <v>73</v>
      </c>
      <c r="E142" s="19" t="s">
        <v>74</v>
      </c>
      <c r="F142" s="18">
        <v>2.5</v>
      </c>
      <c r="G142" s="19" t="s">
        <v>109</v>
      </c>
      <c r="H142" s="19" t="s">
        <v>107</v>
      </c>
      <c r="I142" s="19" t="s">
        <v>110</v>
      </c>
    </row>
    <row r="143" spans="1:9" ht="27.75" customHeight="1" x14ac:dyDescent="0.3">
      <c r="A143" s="16" t="s">
        <v>386</v>
      </c>
      <c r="B143" s="17" t="s">
        <v>16</v>
      </c>
      <c r="C143" s="17" t="s">
        <v>105</v>
      </c>
      <c r="D143" s="17" t="s">
        <v>77</v>
      </c>
      <c r="E143" s="17" t="s">
        <v>90</v>
      </c>
      <c r="F143" s="16">
        <v>2</v>
      </c>
      <c r="G143" s="17" t="s">
        <v>111</v>
      </c>
      <c r="H143" s="17" t="s">
        <v>107</v>
      </c>
      <c r="I143" s="17" t="s">
        <v>112</v>
      </c>
    </row>
    <row r="144" spans="1:9" ht="27.75" customHeight="1" x14ac:dyDescent="0.3">
      <c r="A144" s="18" t="s">
        <v>386</v>
      </c>
      <c r="B144" s="19" t="s">
        <v>16</v>
      </c>
      <c r="C144" s="19" t="s">
        <v>105</v>
      </c>
      <c r="D144" s="19" t="s">
        <v>80</v>
      </c>
      <c r="E144" s="19" t="s">
        <v>90</v>
      </c>
      <c r="F144" s="18">
        <v>2</v>
      </c>
      <c r="G144" s="19" t="s">
        <v>113</v>
      </c>
      <c r="H144" s="19" t="s">
        <v>107</v>
      </c>
      <c r="I144" s="19" t="s">
        <v>114</v>
      </c>
    </row>
    <row r="145" spans="1:9" ht="27.75" customHeight="1" x14ac:dyDescent="0.3">
      <c r="A145" s="16" t="s">
        <v>386</v>
      </c>
      <c r="B145" s="17" t="s">
        <v>17</v>
      </c>
      <c r="C145" s="17" t="s">
        <v>115</v>
      </c>
      <c r="D145" s="17" t="s">
        <v>68</v>
      </c>
      <c r="E145" s="17" t="s">
        <v>90</v>
      </c>
      <c r="F145" s="16">
        <v>2</v>
      </c>
      <c r="G145" s="17" t="s">
        <v>116</v>
      </c>
      <c r="H145" s="17" t="s">
        <v>117</v>
      </c>
      <c r="I145" s="17" t="s">
        <v>118</v>
      </c>
    </row>
    <row r="146" spans="1:9" ht="27.75" customHeight="1" x14ac:dyDescent="0.3">
      <c r="A146" s="18" t="s">
        <v>386</v>
      </c>
      <c r="B146" s="19" t="s">
        <v>17</v>
      </c>
      <c r="C146" s="19" t="s">
        <v>115</v>
      </c>
      <c r="D146" s="19" t="s">
        <v>73</v>
      </c>
      <c r="E146" s="19" t="s">
        <v>119</v>
      </c>
      <c r="F146" s="18">
        <v>1.5</v>
      </c>
      <c r="G146" s="19" t="s">
        <v>120</v>
      </c>
      <c r="H146" s="19" t="s">
        <v>117</v>
      </c>
      <c r="I146" s="19" t="s">
        <v>121</v>
      </c>
    </row>
    <row r="147" spans="1:9" ht="27.75" customHeight="1" x14ac:dyDescent="0.3">
      <c r="A147" s="16" t="s">
        <v>386</v>
      </c>
      <c r="B147" s="17" t="s">
        <v>17</v>
      </c>
      <c r="C147" s="17" t="s">
        <v>115</v>
      </c>
      <c r="D147" s="17" t="s">
        <v>77</v>
      </c>
      <c r="E147" s="17" t="s">
        <v>87</v>
      </c>
      <c r="F147" s="16">
        <v>1</v>
      </c>
      <c r="G147" s="17" t="s">
        <v>122</v>
      </c>
      <c r="H147" s="17" t="s">
        <v>117</v>
      </c>
      <c r="I147" s="17" t="s">
        <v>123</v>
      </c>
    </row>
    <row r="148" spans="1:9" ht="27.75" customHeight="1" x14ac:dyDescent="0.3">
      <c r="A148" s="18" t="s">
        <v>386</v>
      </c>
      <c r="B148" s="19" t="s">
        <v>17</v>
      </c>
      <c r="C148" s="19" t="s">
        <v>115</v>
      </c>
      <c r="D148" s="19" t="s">
        <v>80</v>
      </c>
      <c r="E148" s="19" t="s">
        <v>90</v>
      </c>
      <c r="F148" s="18">
        <v>2</v>
      </c>
      <c r="G148" s="19" t="s">
        <v>124</v>
      </c>
      <c r="H148" s="19" t="s">
        <v>117</v>
      </c>
      <c r="I148" s="19" t="s">
        <v>125</v>
      </c>
    </row>
    <row r="149" spans="1:9" ht="27.75" customHeight="1" x14ac:dyDescent="0.3">
      <c r="A149" s="16" t="s">
        <v>386</v>
      </c>
      <c r="B149" s="17" t="s">
        <v>18</v>
      </c>
      <c r="C149" s="17" t="s">
        <v>126</v>
      </c>
      <c r="D149" s="17" t="s">
        <v>68</v>
      </c>
      <c r="E149" s="17" t="s">
        <v>90</v>
      </c>
      <c r="F149" s="16">
        <v>2</v>
      </c>
      <c r="G149" s="17" t="s">
        <v>127</v>
      </c>
      <c r="H149" s="17" t="s">
        <v>128</v>
      </c>
      <c r="I149" s="17" t="s">
        <v>129</v>
      </c>
    </row>
    <row r="150" spans="1:9" ht="27.75" customHeight="1" x14ac:dyDescent="0.3">
      <c r="A150" s="18" t="s">
        <v>386</v>
      </c>
      <c r="B150" s="19" t="s">
        <v>18</v>
      </c>
      <c r="C150" s="19" t="s">
        <v>126</v>
      </c>
      <c r="D150" s="19" t="s">
        <v>73</v>
      </c>
      <c r="E150" s="19" t="s">
        <v>90</v>
      </c>
      <c r="F150" s="18">
        <v>2</v>
      </c>
      <c r="G150" s="19" t="s">
        <v>130</v>
      </c>
      <c r="H150" s="19" t="s">
        <v>128</v>
      </c>
      <c r="I150" s="19" t="s">
        <v>131</v>
      </c>
    </row>
    <row r="151" spans="1:9" ht="27.75" customHeight="1" x14ac:dyDescent="0.3">
      <c r="A151" s="16" t="s">
        <v>386</v>
      </c>
      <c r="B151" s="17" t="s">
        <v>18</v>
      </c>
      <c r="C151" s="17" t="s">
        <v>126</v>
      </c>
      <c r="D151" s="17" t="s">
        <v>77</v>
      </c>
      <c r="E151" s="17" t="s">
        <v>90</v>
      </c>
      <c r="F151" s="16">
        <v>2</v>
      </c>
      <c r="G151" s="17" t="s">
        <v>132</v>
      </c>
      <c r="H151" s="17" t="s">
        <v>128</v>
      </c>
      <c r="I151" s="17" t="s">
        <v>133</v>
      </c>
    </row>
    <row r="152" spans="1:9" ht="27.75" customHeight="1" x14ac:dyDescent="0.3">
      <c r="A152" s="18" t="s">
        <v>386</v>
      </c>
      <c r="B152" s="19" t="s">
        <v>18</v>
      </c>
      <c r="C152" s="19" t="s">
        <v>126</v>
      </c>
      <c r="D152" s="19" t="s">
        <v>80</v>
      </c>
      <c r="E152" s="19" t="s">
        <v>90</v>
      </c>
      <c r="F152" s="18">
        <v>2</v>
      </c>
      <c r="G152" s="19" t="s">
        <v>134</v>
      </c>
      <c r="H152" s="19" t="s">
        <v>128</v>
      </c>
      <c r="I152" s="19" t="s">
        <v>135</v>
      </c>
    </row>
    <row r="153" spans="1:9" ht="27.75" customHeight="1" x14ac:dyDescent="0.3">
      <c r="A153" s="16" t="s">
        <v>386</v>
      </c>
      <c r="B153" s="17" t="s">
        <v>19</v>
      </c>
      <c r="C153" s="17" t="s">
        <v>136</v>
      </c>
      <c r="D153" s="17" t="s">
        <v>68</v>
      </c>
      <c r="E153" s="17" t="s">
        <v>90</v>
      </c>
      <c r="F153" s="16">
        <v>2</v>
      </c>
      <c r="G153" s="17" t="s">
        <v>137</v>
      </c>
      <c r="H153" s="17" t="s">
        <v>138</v>
      </c>
      <c r="I153" s="17" t="s">
        <v>139</v>
      </c>
    </row>
    <row r="154" spans="1:9" ht="27.75" customHeight="1" x14ac:dyDescent="0.3">
      <c r="A154" s="18" t="s">
        <v>386</v>
      </c>
      <c r="B154" s="19" t="s">
        <v>19</v>
      </c>
      <c r="C154" s="19" t="s">
        <v>136</v>
      </c>
      <c r="D154" s="19" t="s">
        <v>73</v>
      </c>
      <c r="E154" s="19" t="s">
        <v>69</v>
      </c>
      <c r="F154" s="18">
        <v>3</v>
      </c>
      <c r="G154" s="19" t="s">
        <v>140</v>
      </c>
      <c r="H154" s="19" t="s">
        <v>138</v>
      </c>
      <c r="I154" s="19" t="s">
        <v>141</v>
      </c>
    </row>
    <row r="155" spans="1:9" ht="27.75" customHeight="1" x14ac:dyDescent="0.3">
      <c r="A155" s="16" t="s">
        <v>386</v>
      </c>
      <c r="B155" s="17" t="s">
        <v>19</v>
      </c>
      <c r="C155" s="17" t="s">
        <v>136</v>
      </c>
      <c r="D155" s="17" t="s">
        <v>77</v>
      </c>
      <c r="E155" s="17" t="s">
        <v>90</v>
      </c>
      <c r="F155" s="16">
        <v>2</v>
      </c>
      <c r="G155" s="17" t="s">
        <v>142</v>
      </c>
      <c r="H155" s="17" t="s">
        <v>138</v>
      </c>
      <c r="I155" s="17" t="s">
        <v>143</v>
      </c>
    </row>
    <row r="156" spans="1:9" ht="27.75" customHeight="1" x14ac:dyDescent="0.3">
      <c r="A156" s="18" t="s">
        <v>386</v>
      </c>
      <c r="B156" s="19" t="s">
        <v>19</v>
      </c>
      <c r="C156" s="19" t="s">
        <v>136</v>
      </c>
      <c r="D156" s="19" t="s">
        <v>80</v>
      </c>
      <c r="E156" s="19" t="s">
        <v>90</v>
      </c>
      <c r="F156" s="18">
        <v>2</v>
      </c>
      <c r="G156" s="19" t="s">
        <v>144</v>
      </c>
      <c r="H156" s="19" t="s">
        <v>138</v>
      </c>
      <c r="I156" s="19" t="s">
        <v>145</v>
      </c>
    </row>
    <row r="157" spans="1:9" ht="27.75" customHeight="1" x14ac:dyDescent="0.3">
      <c r="A157" s="16" t="s">
        <v>386</v>
      </c>
      <c r="B157" s="17" t="s">
        <v>20</v>
      </c>
      <c r="C157" s="17" t="s">
        <v>146</v>
      </c>
      <c r="D157" s="17" t="s">
        <v>68</v>
      </c>
      <c r="E157" s="17" t="s">
        <v>87</v>
      </c>
      <c r="F157" s="16">
        <v>1</v>
      </c>
      <c r="G157" s="17" t="s">
        <v>147</v>
      </c>
      <c r="H157" s="17" t="s">
        <v>148</v>
      </c>
      <c r="I157" s="17" t="s">
        <v>149</v>
      </c>
    </row>
    <row r="158" spans="1:9" ht="27.75" customHeight="1" x14ac:dyDescent="0.3">
      <c r="A158" s="18" t="s">
        <v>386</v>
      </c>
      <c r="B158" s="19" t="s">
        <v>20</v>
      </c>
      <c r="C158" s="19" t="s">
        <v>146</v>
      </c>
      <c r="D158" s="19" t="s">
        <v>73</v>
      </c>
      <c r="E158" s="19" t="s">
        <v>90</v>
      </c>
      <c r="F158" s="18">
        <v>2</v>
      </c>
      <c r="G158" s="19" t="s">
        <v>150</v>
      </c>
      <c r="H158" s="19" t="s">
        <v>148</v>
      </c>
      <c r="I158" s="19" t="s">
        <v>151</v>
      </c>
    </row>
    <row r="159" spans="1:9" ht="27.75" customHeight="1" x14ac:dyDescent="0.3">
      <c r="A159" s="16" t="s">
        <v>386</v>
      </c>
      <c r="B159" s="17" t="s">
        <v>20</v>
      </c>
      <c r="C159" s="17" t="s">
        <v>146</v>
      </c>
      <c r="D159" s="17" t="s">
        <v>77</v>
      </c>
      <c r="E159" s="17" t="s">
        <v>119</v>
      </c>
      <c r="F159" s="16">
        <v>1.5</v>
      </c>
      <c r="G159" s="17" t="s">
        <v>152</v>
      </c>
      <c r="H159" s="17" t="s">
        <v>148</v>
      </c>
      <c r="I159" s="17" t="s">
        <v>153</v>
      </c>
    </row>
    <row r="160" spans="1:9" ht="27.75" customHeight="1" x14ac:dyDescent="0.3">
      <c r="A160" s="18" t="s">
        <v>386</v>
      </c>
      <c r="B160" s="19" t="s">
        <v>20</v>
      </c>
      <c r="C160" s="19" t="s">
        <v>146</v>
      </c>
      <c r="D160" s="19" t="s">
        <v>80</v>
      </c>
      <c r="E160" s="19" t="s">
        <v>87</v>
      </c>
      <c r="F160" s="18">
        <v>1</v>
      </c>
      <c r="G160" s="19" t="s">
        <v>154</v>
      </c>
      <c r="H160" s="19" t="s">
        <v>148</v>
      </c>
      <c r="I160" s="19" t="s">
        <v>155</v>
      </c>
    </row>
    <row r="161" spans="1:9" ht="27.75" customHeight="1" x14ac:dyDescent="0.3">
      <c r="A161" s="16" t="s">
        <v>386</v>
      </c>
      <c r="B161" s="17" t="s">
        <v>21</v>
      </c>
      <c r="C161" s="17" t="s">
        <v>156</v>
      </c>
      <c r="D161" s="17" t="s">
        <v>68</v>
      </c>
      <c r="E161" s="17" t="s">
        <v>69</v>
      </c>
      <c r="F161" s="16">
        <v>3</v>
      </c>
      <c r="G161" s="17" t="s">
        <v>157</v>
      </c>
      <c r="H161" s="17" t="s">
        <v>158</v>
      </c>
      <c r="I161" s="17" t="s">
        <v>159</v>
      </c>
    </row>
    <row r="162" spans="1:9" ht="27.75" customHeight="1" x14ac:dyDescent="0.3">
      <c r="A162" s="18" t="s">
        <v>386</v>
      </c>
      <c r="B162" s="19" t="s">
        <v>21</v>
      </c>
      <c r="C162" s="19" t="s">
        <v>156</v>
      </c>
      <c r="D162" s="19" t="s">
        <v>73</v>
      </c>
      <c r="E162" s="19" t="s">
        <v>87</v>
      </c>
      <c r="F162" s="18">
        <v>1</v>
      </c>
      <c r="G162" s="19" t="s">
        <v>160</v>
      </c>
      <c r="H162" s="19" t="s">
        <v>158</v>
      </c>
      <c r="I162" s="19" t="s">
        <v>161</v>
      </c>
    </row>
    <row r="163" spans="1:9" ht="27.75" customHeight="1" x14ac:dyDescent="0.3">
      <c r="A163" s="16" t="s">
        <v>386</v>
      </c>
      <c r="B163" s="17" t="s">
        <v>21</v>
      </c>
      <c r="C163" s="17" t="s">
        <v>156</v>
      </c>
      <c r="D163" s="17" t="s">
        <v>77</v>
      </c>
      <c r="E163" s="17" t="s">
        <v>90</v>
      </c>
      <c r="F163" s="16">
        <v>2</v>
      </c>
      <c r="G163" s="17" t="s">
        <v>162</v>
      </c>
      <c r="H163" s="17" t="s">
        <v>158</v>
      </c>
      <c r="I163" s="17" t="s">
        <v>163</v>
      </c>
    </row>
    <row r="164" spans="1:9" ht="27.75" customHeight="1" x14ac:dyDescent="0.3">
      <c r="A164" s="18" t="s">
        <v>386</v>
      </c>
      <c r="B164" s="19" t="s">
        <v>21</v>
      </c>
      <c r="C164" s="19" t="s">
        <v>156</v>
      </c>
      <c r="D164" s="19" t="s">
        <v>80</v>
      </c>
      <c r="E164" s="19" t="s">
        <v>90</v>
      </c>
      <c r="F164" s="18">
        <v>2</v>
      </c>
      <c r="G164" s="19" t="s">
        <v>164</v>
      </c>
      <c r="H164" s="19" t="s">
        <v>158</v>
      </c>
      <c r="I164" s="19" t="s">
        <v>165</v>
      </c>
    </row>
    <row r="165" spans="1:9" ht="27.75" customHeight="1" x14ac:dyDescent="0.3">
      <c r="A165" s="16" t="s">
        <v>386</v>
      </c>
      <c r="B165" s="17" t="s">
        <v>23</v>
      </c>
      <c r="C165" s="17" t="s">
        <v>166</v>
      </c>
      <c r="D165" s="17" t="s">
        <v>68</v>
      </c>
      <c r="E165" s="17" t="s">
        <v>90</v>
      </c>
      <c r="F165" s="16">
        <v>2</v>
      </c>
      <c r="G165" s="17" t="s">
        <v>167</v>
      </c>
      <c r="H165" s="17" t="s">
        <v>168</v>
      </c>
      <c r="I165" s="17" t="s">
        <v>169</v>
      </c>
    </row>
    <row r="166" spans="1:9" ht="27.75" customHeight="1" x14ac:dyDescent="0.3">
      <c r="A166" s="18" t="s">
        <v>386</v>
      </c>
      <c r="B166" s="19" t="s">
        <v>23</v>
      </c>
      <c r="C166" s="19" t="s">
        <v>166</v>
      </c>
      <c r="D166" s="19" t="s">
        <v>73</v>
      </c>
      <c r="E166" s="19" t="s">
        <v>90</v>
      </c>
      <c r="F166" s="18">
        <v>2</v>
      </c>
      <c r="G166" s="19" t="s">
        <v>170</v>
      </c>
      <c r="H166" s="19" t="s">
        <v>168</v>
      </c>
      <c r="I166" s="19" t="s">
        <v>171</v>
      </c>
    </row>
    <row r="167" spans="1:9" ht="27.75" customHeight="1" x14ac:dyDescent="0.3">
      <c r="A167" s="16" t="s">
        <v>386</v>
      </c>
      <c r="B167" s="17" t="s">
        <v>23</v>
      </c>
      <c r="C167" s="17" t="s">
        <v>166</v>
      </c>
      <c r="D167" s="17" t="s">
        <v>77</v>
      </c>
      <c r="E167" s="17" t="s">
        <v>87</v>
      </c>
      <c r="F167" s="16">
        <v>1</v>
      </c>
      <c r="G167" s="17" t="s">
        <v>172</v>
      </c>
      <c r="H167" s="17" t="s">
        <v>168</v>
      </c>
      <c r="I167" s="17" t="s">
        <v>173</v>
      </c>
    </row>
    <row r="168" spans="1:9" ht="27.75" customHeight="1" x14ac:dyDescent="0.3">
      <c r="A168" s="18" t="s">
        <v>386</v>
      </c>
      <c r="B168" s="19" t="s">
        <v>23</v>
      </c>
      <c r="C168" s="19" t="s">
        <v>166</v>
      </c>
      <c r="D168" s="19" t="s">
        <v>80</v>
      </c>
      <c r="E168" s="19" t="s">
        <v>90</v>
      </c>
      <c r="F168" s="18">
        <v>2</v>
      </c>
      <c r="G168" s="19" t="s">
        <v>174</v>
      </c>
      <c r="H168" s="19" t="s">
        <v>168</v>
      </c>
      <c r="I168" s="19" t="s">
        <v>175</v>
      </c>
    </row>
    <row r="169" spans="1:9" ht="27.75" customHeight="1" x14ac:dyDescent="0.3">
      <c r="A169" s="16" t="s">
        <v>386</v>
      </c>
      <c r="B169" s="17" t="s">
        <v>24</v>
      </c>
      <c r="C169" s="17" t="s">
        <v>176</v>
      </c>
      <c r="D169" s="17" t="s">
        <v>68</v>
      </c>
      <c r="E169" s="17" t="s">
        <v>90</v>
      </c>
      <c r="F169" s="16">
        <v>2</v>
      </c>
      <c r="G169" s="17" t="s">
        <v>177</v>
      </c>
      <c r="H169" s="17" t="s">
        <v>178</v>
      </c>
      <c r="I169" s="17" t="s">
        <v>179</v>
      </c>
    </row>
    <row r="170" spans="1:9" ht="27.75" customHeight="1" x14ac:dyDescent="0.3">
      <c r="A170" s="18" t="s">
        <v>386</v>
      </c>
      <c r="B170" s="19" t="s">
        <v>24</v>
      </c>
      <c r="C170" s="19" t="s">
        <v>176</v>
      </c>
      <c r="D170" s="19" t="s">
        <v>73</v>
      </c>
      <c r="E170" s="19" t="s">
        <v>90</v>
      </c>
      <c r="F170" s="18">
        <v>2</v>
      </c>
      <c r="G170" s="19" t="s">
        <v>180</v>
      </c>
      <c r="H170" s="19" t="s">
        <v>178</v>
      </c>
      <c r="I170" s="19" t="s">
        <v>181</v>
      </c>
    </row>
    <row r="171" spans="1:9" ht="27.75" customHeight="1" x14ac:dyDescent="0.3">
      <c r="A171" s="16" t="s">
        <v>386</v>
      </c>
      <c r="B171" s="17" t="s">
        <v>24</v>
      </c>
      <c r="C171" s="17" t="s">
        <v>176</v>
      </c>
      <c r="D171" s="17" t="s">
        <v>77</v>
      </c>
      <c r="E171" s="17" t="s">
        <v>90</v>
      </c>
      <c r="F171" s="16">
        <v>2</v>
      </c>
      <c r="G171" s="17" t="s">
        <v>182</v>
      </c>
      <c r="H171" s="17" t="s">
        <v>178</v>
      </c>
      <c r="I171" s="17" t="s">
        <v>183</v>
      </c>
    </row>
    <row r="172" spans="1:9" ht="27.75" customHeight="1" x14ac:dyDescent="0.3">
      <c r="A172" s="18" t="s">
        <v>386</v>
      </c>
      <c r="B172" s="19" t="s">
        <v>24</v>
      </c>
      <c r="C172" s="19" t="s">
        <v>176</v>
      </c>
      <c r="D172" s="19" t="s">
        <v>80</v>
      </c>
      <c r="E172" s="19" t="s">
        <v>69</v>
      </c>
      <c r="F172" s="18">
        <v>3</v>
      </c>
      <c r="G172" s="19" t="s">
        <v>184</v>
      </c>
      <c r="H172" s="19" t="s">
        <v>178</v>
      </c>
      <c r="I172" s="19" t="s">
        <v>185</v>
      </c>
    </row>
    <row r="173" spans="1:9" ht="27.75" customHeight="1" x14ac:dyDescent="0.3">
      <c r="A173" s="16" t="s">
        <v>386</v>
      </c>
      <c r="B173" s="17" t="s">
        <v>25</v>
      </c>
      <c r="C173" s="17" t="s">
        <v>186</v>
      </c>
      <c r="D173" s="17" t="s">
        <v>68</v>
      </c>
      <c r="E173" s="17" t="s">
        <v>69</v>
      </c>
      <c r="F173" s="16">
        <v>3</v>
      </c>
      <c r="G173" s="17" t="s">
        <v>187</v>
      </c>
      <c r="H173" s="17" t="s">
        <v>188</v>
      </c>
      <c r="I173" s="17" t="s">
        <v>189</v>
      </c>
    </row>
    <row r="174" spans="1:9" ht="27.75" customHeight="1" x14ac:dyDescent="0.3">
      <c r="A174" s="18" t="s">
        <v>386</v>
      </c>
      <c r="B174" s="19" t="s">
        <v>25</v>
      </c>
      <c r="C174" s="19" t="s">
        <v>186</v>
      </c>
      <c r="D174" s="19" t="s">
        <v>73</v>
      </c>
      <c r="E174" s="19" t="s">
        <v>74</v>
      </c>
      <c r="F174" s="18">
        <v>2.5</v>
      </c>
      <c r="G174" s="19" t="s">
        <v>190</v>
      </c>
      <c r="H174" s="19" t="s">
        <v>188</v>
      </c>
      <c r="I174" s="19" t="s">
        <v>191</v>
      </c>
    </row>
    <row r="175" spans="1:9" ht="27.75" customHeight="1" x14ac:dyDescent="0.3">
      <c r="A175" s="16" t="s">
        <v>386</v>
      </c>
      <c r="B175" s="17" t="s">
        <v>25</v>
      </c>
      <c r="C175" s="17" t="s">
        <v>186</v>
      </c>
      <c r="D175" s="17" t="s">
        <v>77</v>
      </c>
      <c r="E175" s="17" t="s">
        <v>69</v>
      </c>
      <c r="F175" s="16">
        <v>3</v>
      </c>
      <c r="G175" s="17" t="s">
        <v>192</v>
      </c>
      <c r="H175" s="17" t="s">
        <v>188</v>
      </c>
      <c r="I175" s="17" t="s">
        <v>193</v>
      </c>
    </row>
    <row r="176" spans="1:9" ht="27.75" customHeight="1" x14ac:dyDescent="0.3">
      <c r="A176" s="18" t="s">
        <v>386</v>
      </c>
      <c r="B176" s="19" t="s">
        <v>25</v>
      </c>
      <c r="C176" s="19" t="s">
        <v>186</v>
      </c>
      <c r="D176" s="19" t="s">
        <v>80</v>
      </c>
      <c r="E176" s="19" t="s">
        <v>69</v>
      </c>
      <c r="F176" s="18">
        <v>3</v>
      </c>
      <c r="G176" s="19" t="s">
        <v>194</v>
      </c>
      <c r="H176" s="19" t="s">
        <v>188</v>
      </c>
      <c r="I176" s="19" t="s">
        <v>195</v>
      </c>
    </row>
    <row r="177" spans="1:9" ht="27.75" customHeight="1" x14ac:dyDescent="0.3">
      <c r="A177" s="16" t="s">
        <v>386</v>
      </c>
      <c r="B177" s="17" t="s">
        <v>26</v>
      </c>
      <c r="C177" s="17" t="s">
        <v>196</v>
      </c>
      <c r="D177" s="17" t="s">
        <v>68</v>
      </c>
      <c r="E177" s="17" t="s">
        <v>90</v>
      </c>
      <c r="F177" s="16">
        <v>2</v>
      </c>
      <c r="G177" s="17" t="s">
        <v>197</v>
      </c>
      <c r="H177" s="17" t="s">
        <v>198</v>
      </c>
      <c r="I177" s="17" t="s">
        <v>199</v>
      </c>
    </row>
    <row r="178" spans="1:9" ht="27.75" customHeight="1" x14ac:dyDescent="0.3">
      <c r="A178" s="18" t="s">
        <v>386</v>
      </c>
      <c r="B178" s="19" t="s">
        <v>26</v>
      </c>
      <c r="C178" s="19" t="s">
        <v>196</v>
      </c>
      <c r="D178" s="19" t="s">
        <v>73</v>
      </c>
      <c r="E178" s="19" t="s">
        <v>119</v>
      </c>
      <c r="F178" s="18">
        <v>1.5</v>
      </c>
      <c r="G178" s="19" t="s">
        <v>200</v>
      </c>
      <c r="H178" s="19" t="s">
        <v>198</v>
      </c>
      <c r="I178" s="19" t="s">
        <v>201</v>
      </c>
    </row>
    <row r="179" spans="1:9" ht="27.75" customHeight="1" x14ac:dyDescent="0.3">
      <c r="A179" s="16" t="s">
        <v>386</v>
      </c>
      <c r="B179" s="17" t="s">
        <v>26</v>
      </c>
      <c r="C179" s="17" t="s">
        <v>196</v>
      </c>
      <c r="D179" s="17" t="s">
        <v>77</v>
      </c>
      <c r="E179" s="17" t="s">
        <v>87</v>
      </c>
      <c r="F179" s="16">
        <v>1</v>
      </c>
      <c r="G179" s="17" t="s">
        <v>202</v>
      </c>
      <c r="H179" s="17" t="s">
        <v>198</v>
      </c>
      <c r="I179" s="17" t="s">
        <v>203</v>
      </c>
    </row>
    <row r="180" spans="1:9" ht="27.75" customHeight="1" x14ac:dyDescent="0.3">
      <c r="A180" s="18" t="s">
        <v>386</v>
      </c>
      <c r="B180" s="19" t="s">
        <v>26</v>
      </c>
      <c r="C180" s="19" t="s">
        <v>196</v>
      </c>
      <c r="D180" s="19" t="s">
        <v>80</v>
      </c>
      <c r="E180" s="19" t="s">
        <v>90</v>
      </c>
      <c r="F180" s="18">
        <v>2</v>
      </c>
      <c r="G180" s="19" t="s">
        <v>204</v>
      </c>
      <c r="H180" s="19" t="s">
        <v>198</v>
      </c>
      <c r="I180" s="19" t="s">
        <v>205</v>
      </c>
    </row>
    <row r="181" spans="1:9" ht="27.75" customHeight="1" x14ac:dyDescent="0.3">
      <c r="A181" s="16" t="s">
        <v>386</v>
      </c>
      <c r="B181" s="17" t="s">
        <v>27</v>
      </c>
      <c r="C181" s="17" t="s">
        <v>206</v>
      </c>
      <c r="D181" s="17" t="s">
        <v>68</v>
      </c>
      <c r="E181" s="17" t="s">
        <v>90</v>
      </c>
      <c r="F181" s="16">
        <v>2</v>
      </c>
      <c r="G181" s="17" t="s">
        <v>207</v>
      </c>
      <c r="H181" s="17" t="s">
        <v>208</v>
      </c>
      <c r="I181" s="17" t="s">
        <v>209</v>
      </c>
    </row>
    <row r="182" spans="1:9" ht="27.75" customHeight="1" x14ac:dyDescent="0.3">
      <c r="A182" s="18" t="s">
        <v>386</v>
      </c>
      <c r="B182" s="19" t="s">
        <v>27</v>
      </c>
      <c r="C182" s="19" t="s">
        <v>206</v>
      </c>
      <c r="D182" s="19" t="s">
        <v>73</v>
      </c>
      <c r="E182" s="19" t="s">
        <v>69</v>
      </c>
      <c r="F182" s="18">
        <v>3</v>
      </c>
      <c r="G182" s="19" t="s">
        <v>210</v>
      </c>
      <c r="H182" s="19" t="s">
        <v>208</v>
      </c>
      <c r="I182" s="19" t="s">
        <v>211</v>
      </c>
    </row>
    <row r="183" spans="1:9" ht="27.75" customHeight="1" x14ac:dyDescent="0.3">
      <c r="A183" s="16" t="s">
        <v>386</v>
      </c>
      <c r="B183" s="17" t="s">
        <v>27</v>
      </c>
      <c r="C183" s="17" t="s">
        <v>206</v>
      </c>
      <c r="D183" s="17" t="s">
        <v>77</v>
      </c>
      <c r="E183" s="17" t="s">
        <v>90</v>
      </c>
      <c r="F183" s="16">
        <v>2</v>
      </c>
      <c r="G183" s="17" t="s">
        <v>212</v>
      </c>
      <c r="H183" s="17" t="s">
        <v>208</v>
      </c>
      <c r="I183" s="17" t="s">
        <v>213</v>
      </c>
    </row>
    <row r="184" spans="1:9" ht="27.75" customHeight="1" x14ac:dyDescent="0.3">
      <c r="A184" s="18" t="s">
        <v>386</v>
      </c>
      <c r="B184" s="19" t="s">
        <v>27</v>
      </c>
      <c r="C184" s="19" t="s">
        <v>206</v>
      </c>
      <c r="D184" s="19" t="s">
        <v>80</v>
      </c>
      <c r="E184" s="19" t="s">
        <v>69</v>
      </c>
      <c r="F184" s="18">
        <v>3</v>
      </c>
      <c r="G184" s="19" t="s">
        <v>214</v>
      </c>
      <c r="H184" s="19" t="s">
        <v>208</v>
      </c>
      <c r="I184" s="19" t="s">
        <v>215</v>
      </c>
    </row>
    <row r="185" spans="1:9" ht="27.75" customHeight="1" x14ac:dyDescent="0.3">
      <c r="A185" s="16" t="s">
        <v>386</v>
      </c>
      <c r="B185" s="17" t="s">
        <v>28</v>
      </c>
      <c r="C185" s="17" t="s">
        <v>216</v>
      </c>
      <c r="D185" s="17" t="s">
        <v>68</v>
      </c>
      <c r="E185" s="17" t="s">
        <v>69</v>
      </c>
      <c r="F185" s="16">
        <v>3</v>
      </c>
      <c r="G185" s="17" t="s">
        <v>217</v>
      </c>
      <c r="H185" s="17" t="s">
        <v>218</v>
      </c>
      <c r="I185" s="17" t="s">
        <v>219</v>
      </c>
    </row>
    <row r="186" spans="1:9" ht="27.75" customHeight="1" x14ac:dyDescent="0.3">
      <c r="A186" s="18" t="s">
        <v>386</v>
      </c>
      <c r="B186" s="19" t="s">
        <v>28</v>
      </c>
      <c r="C186" s="19" t="s">
        <v>216</v>
      </c>
      <c r="D186" s="19" t="s">
        <v>73</v>
      </c>
      <c r="E186" s="19" t="s">
        <v>90</v>
      </c>
      <c r="F186" s="18">
        <v>2</v>
      </c>
      <c r="G186" s="19" t="s">
        <v>220</v>
      </c>
      <c r="H186" s="19" t="s">
        <v>218</v>
      </c>
      <c r="I186" s="19" t="s">
        <v>221</v>
      </c>
    </row>
    <row r="187" spans="1:9" ht="27.75" customHeight="1" x14ac:dyDescent="0.3">
      <c r="A187" s="16" t="s">
        <v>386</v>
      </c>
      <c r="B187" s="17" t="s">
        <v>28</v>
      </c>
      <c r="C187" s="17" t="s">
        <v>216</v>
      </c>
      <c r="D187" s="17" t="s">
        <v>77</v>
      </c>
      <c r="E187" s="17" t="s">
        <v>90</v>
      </c>
      <c r="F187" s="16">
        <v>2</v>
      </c>
      <c r="G187" s="17" t="s">
        <v>222</v>
      </c>
      <c r="H187" s="17" t="s">
        <v>218</v>
      </c>
      <c r="I187" s="17" t="s">
        <v>223</v>
      </c>
    </row>
    <row r="188" spans="1:9" ht="27.75" customHeight="1" x14ac:dyDescent="0.3">
      <c r="A188" s="18" t="s">
        <v>386</v>
      </c>
      <c r="B188" s="19" t="s">
        <v>28</v>
      </c>
      <c r="C188" s="19" t="s">
        <v>216</v>
      </c>
      <c r="D188" s="19" t="s">
        <v>80</v>
      </c>
      <c r="E188" s="19" t="s">
        <v>69</v>
      </c>
      <c r="F188" s="18">
        <v>3</v>
      </c>
      <c r="G188" s="19" t="s">
        <v>224</v>
      </c>
      <c r="H188" s="19" t="s">
        <v>218</v>
      </c>
      <c r="I188" s="19" t="s">
        <v>225</v>
      </c>
    </row>
    <row r="189" spans="1:9" ht="27.75" customHeight="1" x14ac:dyDescent="0.3">
      <c r="A189" s="16" t="s">
        <v>386</v>
      </c>
      <c r="B189" s="17" t="s">
        <v>29</v>
      </c>
      <c r="C189" s="17" t="s">
        <v>226</v>
      </c>
      <c r="D189" s="17" t="s">
        <v>68</v>
      </c>
      <c r="E189" s="17" t="s">
        <v>69</v>
      </c>
      <c r="F189" s="16">
        <v>3</v>
      </c>
      <c r="G189" s="17" t="s">
        <v>227</v>
      </c>
      <c r="H189" s="17" t="s">
        <v>228</v>
      </c>
      <c r="I189" s="17" t="s">
        <v>229</v>
      </c>
    </row>
    <row r="190" spans="1:9" ht="27.75" customHeight="1" x14ac:dyDescent="0.3">
      <c r="A190" s="18" t="s">
        <v>386</v>
      </c>
      <c r="B190" s="19" t="s">
        <v>29</v>
      </c>
      <c r="C190" s="19" t="s">
        <v>226</v>
      </c>
      <c r="D190" s="19" t="s">
        <v>73</v>
      </c>
      <c r="E190" s="19" t="s">
        <v>90</v>
      </c>
      <c r="F190" s="18">
        <v>2</v>
      </c>
      <c r="G190" s="19" t="s">
        <v>230</v>
      </c>
      <c r="H190" s="19" t="s">
        <v>228</v>
      </c>
      <c r="I190" s="19" t="s">
        <v>231</v>
      </c>
    </row>
    <row r="191" spans="1:9" ht="27.75" customHeight="1" x14ac:dyDescent="0.3">
      <c r="A191" s="16" t="s">
        <v>386</v>
      </c>
      <c r="B191" s="17" t="s">
        <v>29</v>
      </c>
      <c r="C191" s="17" t="s">
        <v>226</v>
      </c>
      <c r="D191" s="17" t="s">
        <v>77</v>
      </c>
      <c r="E191" s="17" t="s">
        <v>90</v>
      </c>
      <c r="F191" s="16">
        <v>2</v>
      </c>
      <c r="G191" s="17" t="s">
        <v>232</v>
      </c>
      <c r="H191" s="17" t="s">
        <v>228</v>
      </c>
      <c r="I191" s="17" t="s">
        <v>233</v>
      </c>
    </row>
    <row r="192" spans="1:9" ht="27.75" customHeight="1" x14ac:dyDescent="0.3">
      <c r="A192" s="18" t="s">
        <v>386</v>
      </c>
      <c r="B192" s="19" t="s">
        <v>29</v>
      </c>
      <c r="C192" s="19" t="s">
        <v>226</v>
      </c>
      <c r="D192" s="19" t="s">
        <v>80</v>
      </c>
      <c r="E192" s="19" t="s">
        <v>90</v>
      </c>
      <c r="F192" s="18">
        <v>2</v>
      </c>
      <c r="G192" s="19" t="s">
        <v>234</v>
      </c>
      <c r="H192" s="19" t="s">
        <v>228</v>
      </c>
      <c r="I192" s="19" t="s">
        <v>235</v>
      </c>
    </row>
    <row r="193" spans="1:9" ht="27.75" customHeight="1" x14ac:dyDescent="0.3">
      <c r="A193" s="16" t="s">
        <v>386</v>
      </c>
      <c r="B193" s="17" t="s">
        <v>30</v>
      </c>
      <c r="C193" s="17" t="s">
        <v>236</v>
      </c>
      <c r="D193" s="17" t="s">
        <v>68</v>
      </c>
      <c r="E193" s="17" t="s">
        <v>69</v>
      </c>
      <c r="F193" s="16">
        <v>3</v>
      </c>
      <c r="G193" s="17" t="s">
        <v>237</v>
      </c>
      <c r="H193" s="17" t="s">
        <v>238</v>
      </c>
      <c r="I193" s="17" t="s">
        <v>239</v>
      </c>
    </row>
    <row r="194" spans="1:9" ht="27.75" customHeight="1" x14ac:dyDescent="0.3">
      <c r="A194" s="18" t="s">
        <v>386</v>
      </c>
      <c r="B194" s="19" t="s">
        <v>30</v>
      </c>
      <c r="C194" s="19" t="s">
        <v>236</v>
      </c>
      <c r="D194" s="19" t="s">
        <v>73</v>
      </c>
      <c r="E194" s="19" t="s">
        <v>87</v>
      </c>
      <c r="F194" s="18">
        <v>1</v>
      </c>
      <c r="G194" s="19" t="s">
        <v>240</v>
      </c>
      <c r="H194" s="19" t="s">
        <v>238</v>
      </c>
      <c r="I194" s="19" t="s">
        <v>241</v>
      </c>
    </row>
    <row r="195" spans="1:9" ht="27.75" customHeight="1" x14ac:dyDescent="0.3">
      <c r="A195" s="16" t="s">
        <v>386</v>
      </c>
      <c r="B195" s="17" t="s">
        <v>30</v>
      </c>
      <c r="C195" s="17" t="s">
        <v>236</v>
      </c>
      <c r="D195" s="17" t="s">
        <v>77</v>
      </c>
      <c r="E195" s="17" t="s">
        <v>87</v>
      </c>
      <c r="F195" s="16">
        <v>1</v>
      </c>
      <c r="G195" s="17" t="s">
        <v>242</v>
      </c>
      <c r="H195" s="17" t="s">
        <v>238</v>
      </c>
      <c r="I195" s="17" t="s">
        <v>243</v>
      </c>
    </row>
    <row r="196" spans="1:9" ht="27.75" customHeight="1" x14ac:dyDescent="0.3">
      <c r="A196" s="18" t="s">
        <v>386</v>
      </c>
      <c r="B196" s="19" t="s">
        <v>30</v>
      </c>
      <c r="C196" s="19" t="s">
        <v>236</v>
      </c>
      <c r="D196" s="19" t="s">
        <v>80</v>
      </c>
      <c r="E196" s="19" t="s">
        <v>87</v>
      </c>
      <c r="F196" s="18">
        <v>1</v>
      </c>
      <c r="G196" s="19" t="s">
        <v>244</v>
      </c>
      <c r="H196" s="19" t="s">
        <v>238</v>
      </c>
      <c r="I196" s="19" t="s">
        <v>245</v>
      </c>
    </row>
    <row r="197" spans="1:9" ht="27.75" customHeight="1" x14ac:dyDescent="0.3">
      <c r="A197" s="16" t="s">
        <v>386</v>
      </c>
      <c r="B197" s="17" t="s">
        <v>31</v>
      </c>
      <c r="C197" s="17" t="s">
        <v>246</v>
      </c>
      <c r="D197" s="17" t="s">
        <v>68</v>
      </c>
      <c r="E197" s="17" t="s">
        <v>69</v>
      </c>
      <c r="F197" s="16">
        <v>3</v>
      </c>
      <c r="G197" s="17" t="s">
        <v>247</v>
      </c>
      <c r="H197" s="17" t="s">
        <v>248</v>
      </c>
      <c r="I197" s="17" t="s">
        <v>249</v>
      </c>
    </row>
    <row r="198" spans="1:9" ht="27.75" customHeight="1" x14ac:dyDescent="0.3">
      <c r="A198" s="18" t="s">
        <v>386</v>
      </c>
      <c r="B198" s="19" t="s">
        <v>31</v>
      </c>
      <c r="C198" s="19" t="s">
        <v>246</v>
      </c>
      <c r="D198" s="19" t="s">
        <v>73</v>
      </c>
      <c r="E198" s="19" t="s">
        <v>87</v>
      </c>
      <c r="F198" s="18">
        <v>1</v>
      </c>
      <c r="G198" s="19" t="s">
        <v>250</v>
      </c>
      <c r="H198" s="19" t="s">
        <v>248</v>
      </c>
      <c r="I198" s="19" t="s">
        <v>251</v>
      </c>
    </row>
    <row r="199" spans="1:9" ht="27.75" customHeight="1" x14ac:dyDescent="0.3">
      <c r="A199" s="16" t="s">
        <v>386</v>
      </c>
      <c r="B199" s="17" t="s">
        <v>31</v>
      </c>
      <c r="C199" s="17" t="s">
        <v>246</v>
      </c>
      <c r="D199" s="17" t="s">
        <v>77</v>
      </c>
      <c r="E199" s="17" t="s">
        <v>90</v>
      </c>
      <c r="F199" s="16">
        <v>2</v>
      </c>
      <c r="G199" s="17" t="s">
        <v>252</v>
      </c>
      <c r="H199" s="17" t="s">
        <v>248</v>
      </c>
      <c r="I199" s="17" t="s">
        <v>253</v>
      </c>
    </row>
    <row r="200" spans="1:9" ht="27.75" customHeight="1" x14ac:dyDescent="0.3">
      <c r="A200" s="18" t="s">
        <v>386</v>
      </c>
      <c r="B200" s="19" t="s">
        <v>31</v>
      </c>
      <c r="C200" s="19" t="s">
        <v>246</v>
      </c>
      <c r="D200" s="19" t="s">
        <v>80</v>
      </c>
      <c r="E200" s="19" t="s">
        <v>90</v>
      </c>
      <c r="F200" s="18">
        <v>2</v>
      </c>
      <c r="G200" s="19" t="s">
        <v>254</v>
      </c>
      <c r="H200" s="19" t="s">
        <v>248</v>
      </c>
      <c r="I200" s="19" t="s">
        <v>255</v>
      </c>
    </row>
    <row r="201" spans="1:9" ht="27.75" customHeight="1" x14ac:dyDescent="0.3">
      <c r="A201" s="16" t="s">
        <v>386</v>
      </c>
      <c r="B201" s="17" t="s">
        <v>32</v>
      </c>
      <c r="C201" s="17" t="s">
        <v>256</v>
      </c>
      <c r="D201" s="17" t="s">
        <v>68</v>
      </c>
      <c r="E201" s="17" t="s">
        <v>69</v>
      </c>
      <c r="F201" s="16">
        <v>3</v>
      </c>
      <c r="G201" s="17" t="s">
        <v>257</v>
      </c>
      <c r="H201" s="17" t="s">
        <v>258</v>
      </c>
      <c r="I201" s="17" t="s">
        <v>259</v>
      </c>
    </row>
    <row r="202" spans="1:9" ht="27.75" customHeight="1" x14ac:dyDescent="0.3">
      <c r="A202" s="18" t="s">
        <v>386</v>
      </c>
      <c r="B202" s="19" t="s">
        <v>32</v>
      </c>
      <c r="C202" s="19" t="s">
        <v>256</v>
      </c>
      <c r="D202" s="19" t="s">
        <v>73</v>
      </c>
      <c r="E202" s="19" t="s">
        <v>119</v>
      </c>
      <c r="F202" s="18">
        <v>1.5</v>
      </c>
      <c r="G202" s="19" t="s">
        <v>260</v>
      </c>
      <c r="H202" s="19" t="s">
        <v>258</v>
      </c>
      <c r="I202" s="19" t="s">
        <v>261</v>
      </c>
    </row>
    <row r="203" spans="1:9" ht="27.75" customHeight="1" x14ac:dyDescent="0.3">
      <c r="A203" s="16" t="s">
        <v>386</v>
      </c>
      <c r="B203" s="17" t="s">
        <v>32</v>
      </c>
      <c r="C203" s="17" t="s">
        <v>256</v>
      </c>
      <c r="D203" s="17" t="s">
        <v>77</v>
      </c>
      <c r="E203" s="17" t="s">
        <v>90</v>
      </c>
      <c r="F203" s="16">
        <v>2</v>
      </c>
      <c r="G203" s="17" t="s">
        <v>262</v>
      </c>
      <c r="H203" s="17" t="s">
        <v>258</v>
      </c>
      <c r="I203" s="17" t="s">
        <v>263</v>
      </c>
    </row>
    <row r="204" spans="1:9" ht="27.75" customHeight="1" x14ac:dyDescent="0.3">
      <c r="A204" s="18" t="s">
        <v>386</v>
      </c>
      <c r="B204" s="19" t="s">
        <v>32</v>
      </c>
      <c r="C204" s="19" t="s">
        <v>256</v>
      </c>
      <c r="D204" s="19" t="s">
        <v>80</v>
      </c>
      <c r="E204" s="19" t="s">
        <v>90</v>
      </c>
      <c r="F204" s="18">
        <v>2</v>
      </c>
      <c r="G204" s="19" t="s">
        <v>264</v>
      </c>
      <c r="H204" s="19" t="s">
        <v>258</v>
      </c>
      <c r="I204" s="19" t="s">
        <v>265</v>
      </c>
    </row>
    <row r="205" spans="1:9" ht="27.75" customHeight="1" x14ac:dyDescent="0.3">
      <c r="A205" s="16" t="s">
        <v>386</v>
      </c>
      <c r="B205" s="17" t="s">
        <v>33</v>
      </c>
      <c r="C205" s="17" t="s">
        <v>266</v>
      </c>
      <c r="D205" s="17" t="s">
        <v>68</v>
      </c>
      <c r="E205" s="17" t="s">
        <v>90</v>
      </c>
      <c r="F205" s="16">
        <v>2</v>
      </c>
      <c r="G205" s="17" t="s">
        <v>267</v>
      </c>
      <c r="H205" s="17" t="s">
        <v>268</v>
      </c>
      <c r="I205" s="17" t="s">
        <v>269</v>
      </c>
    </row>
    <row r="206" spans="1:9" ht="27.75" customHeight="1" x14ac:dyDescent="0.3">
      <c r="A206" s="18" t="s">
        <v>386</v>
      </c>
      <c r="B206" s="19" t="s">
        <v>33</v>
      </c>
      <c r="C206" s="19" t="s">
        <v>266</v>
      </c>
      <c r="D206" s="19" t="s">
        <v>73</v>
      </c>
      <c r="E206" s="19" t="s">
        <v>69</v>
      </c>
      <c r="F206" s="18">
        <v>3</v>
      </c>
      <c r="G206" s="19" t="s">
        <v>270</v>
      </c>
      <c r="H206" s="19" t="s">
        <v>268</v>
      </c>
      <c r="I206" s="19" t="s">
        <v>271</v>
      </c>
    </row>
    <row r="207" spans="1:9" ht="27.75" customHeight="1" x14ac:dyDescent="0.3">
      <c r="A207" s="16" t="s">
        <v>386</v>
      </c>
      <c r="B207" s="17" t="s">
        <v>33</v>
      </c>
      <c r="C207" s="17" t="s">
        <v>266</v>
      </c>
      <c r="D207" s="17" t="s">
        <v>77</v>
      </c>
      <c r="E207" s="17" t="s">
        <v>87</v>
      </c>
      <c r="F207" s="16">
        <v>1</v>
      </c>
      <c r="G207" s="17" t="s">
        <v>272</v>
      </c>
      <c r="H207" s="17" t="s">
        <v>268</v>
      </c>
      <c r="I207" s="17" t="s">
        <v>273</v>
      </c>
    </row>
    <row r="208" spans="1:9" ht="27.75" customHeight="1" x14ac:dyDescent="0.3">
      <c r="A208" s="18" t="s">
        <v>386</v>
      </c>
      <c r="B208" s="19" t="s">
        <v>33</v>
      </c>
      <c r="C208" s="19" t="s">
        <v>266</v>
      </c>
      <c r="D208" s="19" t="s">
        <v>80</v>
      </c>
      <c r="E208" s="19" t="s">
        <v>87</v>
      </c>
      <c r="F208" s="18">
        <v>1</v>
      </c>
      <c r="G208" s="19" t="s">
        <v>154</v>
      </c>
      <c r="H208" s="19" t="s">
        <v>268</v>
      </c>
      <c r="I208" s="19" t="s">
        <v>155</v>
      </c>
    </row>
    <row r="209" spans="1:9" ht="27.75" customHeight="1" x14ac:dyDescent="0.3">
      <c r="A209" s="16" t="s">
        <v>386</v>
      </c>
      <c r="B209" s="17" t="s">
        <v>34</v>
      </c>
      <c r="C209" s="17" t="s">
        <v>274</v>
      </c>
      <c r="D209" s="17" t="s">
        <v>68</v>
      </c>
      <c r="E209" s="17" t="s">
        <v>69</v>
      </c>
      <c r="F209" s="16">
        <v>3</v>
      </c>
      <c r="G209" s="17" t="s">
        <v>275</v>
      </c>
      <c r="H209" s="17" t="s">
        <v>276</v>
      </c>
      <c r="I209" s="17" t="s">
        <v>277</v>
      </c>
    </row>
    <row r="210" spans="1:9" ht="27.75" customHeight="1" x14ac:dyDescent="0.3">
      <c r="A210" s="18" t="s">
        <v>386</v>
      </c>
      <c r="B210" s="19" t="s">
        <v>34</v>
      </c>
      <c r="C210" s="19" t="s">
        <v>274</v>
      </c>
      <c r="D210" s="19" t="s">
        <v>73</v>
      </c>
      <c r="E210" s="19" t="s">
        <v>87</v>
      </c>
      <c r="F210" s="18">
        <v>1</v>
      </c>
      <c r="G210" s="19" t="s">
        <v>278</v>
      </c>
      <c r="H210" s="19" t="s">
        <v>276</v>
      </c>
      <c r="I210" s="19" t="s">
        <v>279</v>
      </c>
    </row>
    <row r="211" spans="1:9" ht="27.75" customHeight="1" x14ac:dyDescent="0.3">
      <c r="A211" s="16" t="s">
        <v>386</v>
      </c>
      <c r="B211" s="17" t="s">
        <v>34</v>
      </c>
      <c r="C211" s="17" t="s">
        <v>274</v>
      </c>
      <c r="D211" s="17" t="s">
        <v>77</v>
      </c>
      <c r="E211" s="17" t="s">
        <v>87</v>
      </c>
      <c r="F211" s="16">
        <v>1</v>
      </c>
      <c r="G211" s="17" t="s">
        <v>280</v>
      </c>
      <c r="H211" s="17" t="s">
        <v>276</v>
      </c>
      <c r="I211" s="17" t="s">
        <v>281</v>
      </c>
    </row>
    <row r="212" spans="1:9" ht="27.75" customHeight="1" x14ac:dyDescent="0.3">
      <c r="A212" s="18" t="s">
        <v>386</v>
      </c>
      <c r="B212" s="19" t="s">
        <v>34</v>
      </c>
      <c r="C212" s="19" t="s">
        <v>274</v>
      </c>
      <c r="D212" s="19" t="s">
        <v>80</v>
      </c>
      <c r="E212" s="19" t="s">
        <v>87</v>
      </c>
      <c r="F212" s="18">
        <v>1</v>
      </c>
      <c r="G212" s="19" t="s">
        <v>282</v>
      </c>
      <c r="H212" s="19" t="s">
        <v>276</v>
      </c>
      <c r="I212" s="19" t="s">
        <v>283</v>
      </c>
    </row>
    <row r="213" spans="1:9" ht="27.75" customHeight="1" x14ac:dyDescent="0.3">
      <c r="A213" s="16" t="s">
        <v>386</v>
      </c>
      <c r="B213" s="17" t="s">
        <v>35</v>
      </c>
      <c r="C213" s="17" t="s">
        <v>284</v>
      </c>
      <c r="D213" s="17" t="s">
        <v>68</v>
      </c>
      <c r="E213" s="17" t="s">
        <v>69</v>
      </c>
      <c r="F213" s="16">
        <v>3</v>
      </c>
      <c r="G213" s="17" t="s">
        <v>285</v>
      </c>
      <c r="H213" s="17" t="s">
        <v>286</v>
      </c>
      <c r="I213" s="17" t="s">
        <v>287</v>
      </c>
    </row>
    <row r="214" spans="1:9" ht="27.75" customHeight="1" x14ac:dyDescent="0.3">
      <c r="A214" s="18" t="s">
        <v>386</v>
      </c>
      <c r="B214" s="19" t="s">
        <v>35</v>
      </c>
      <c r="C214" s="19" t="s">
        <v>284</v>
      </c>
      <c r="D214" s="19" t="s">
        <v>73</v>
      </c>
      <c r="E214" s="19" t="s">
        <v>87</v>
      </c>
      <c r="F214" s="18">
        <v>1</v>
      </c>
      <c r="G214" s="19" t="s">
        <v>288</v>
      </c>
      <c r="H214" s="19" t="s">
        <v>286</v>
      </c>
      <c r="I214" s="19" t="s">
        <v>289</v>
      </c>
    </row>
    <row r="215" spans="1:9" ht="27.75" customHeight="1" x14ac:dyDescent="0.3">
      <c r="A215" s="16" t="s">
        <v>386</v>
      </c>
      <c r="B215" s="17" t="s">
        <v>35</v>
      </c>
      <c r="C215" s="17" t="s">
        <v>284</v>
      </c>
      <c r="D215" s="17" t="s">
        <v>77</v>
      </c>
      <c r="E215" s="17" t="s">
        <v>90</v>
      </c>
      <c r="F215" s="16">
        <v>2</v>
      </c>
      <c r="G215" s="17" t="s">
        <v>290</v>
      </c>
      <c r="H215" s="17" t="s">
        <v>286</v>
      </c>
      <c r="I215" s="17" t="s">
        <v>291</v>
      </c>
    </row>
    <row r="216" spans="1:9" ht="27.75" customHeight="1" x14ac:dyDescent="0.3">
      <c r="A216" s="18" t="s">
        <v>386</v>
      </c>
      <c r="B216" s="19" t="s">
        <v>35</v>
      </c>
      <c r="C216" s="19" t="s">
        <v>284</v>
      </c>
      <c r="D216" s="19" t="s">
        <v>80</v>
      </c>
      <c r="E216" s="19" t="s">
        <v>87</v>
      </c>
      <c r="F216" s="18">
        <v>1</v>
      </c>
      <c r="G216" s="19" t="s">
        <v>292</v>
      </c>
      <c r="H216" s="19" t="s">
        <v>286</v>
      </c>
      <c r="I216" s="19" t="s">
        <v>293</v>
      </c>
    </row>
    <row r="217" spans="1:9" ht="27.75" customHeight="1" x14ac:dyDescent="0.3">
      <c r="A217" s="16" t="s">
        <v>386</v>
      </c>
      <c r="B217" s="17" t="s">
        <v>36</v>
      </c>
      <c r="C217" s="17" t="s">
        <v>294</v>
      </c>
      <c r="D217" s="17" t="s">
        <v>68</v>
      </c>
      <c r="E217" s="17" t="s">
        <v>74</v>
      </c>
      <c r="F217" s="16">
        <v>2.5</v>
      </c>
      <c r="G217" s="17" t="s">
        <v>295</v>
      </c>
      <c r="H217" s="17" t="s">
        <v>296</v>
      </c>
      <c r="I217" s="17" t="s">
        <v>297</v>
      </c>
    </row>
    <row r="218" spans="1:9" ht="27.75" customHeight="1" x14ac:dyDescent="0.3">
      <c r="A218" s="18" t="s">
        <v>386</v>
      </c>
      <c r="B218" s="19" t="s">
        <v>36</v>
      </c>
      <c r="C218" s="19" t="s">
        <v>294</v>
      </c>
      <c r="D218" s="19" t="s">
        <v>73</v>
      </c>
      <c r="E218" s="19" t="s">
        <v>90</v>
      </c>
      <c r="F218" s="18">
        <v>2</v>
      </c>
      <c r="G218" s="19" t="s">
        <v>298</v>
      </c>
      <c r="H218" s="19" t="s">
        <v>296</v>
      </c>
      <c r="I218" s="19" t="s">
        <v>299</v>
      </c>
    </row>
    <row r="219" spans="1:9" ht="27.75" customHeight="1" x14ac:dyDescent="0.3">
      <c r="A219" s="16" t="s">
        <v>386</v>
      </c>
      <c r="B219" s="17" t="s">
        <v>36</v>
      </c>
      <c r="C219" s="17" t="s">
        <v>294</v>
      </c>
      <c r="D219" s="17" t="s">
        <v>77</v>
      </c>
      <c r="E219" s="17" t="s">
        <v>90</v>
      </c>
      <c r="F219" s="16">
        <v>2</v>
      </c>
      <c r="G219" s="17" t="s">
        <v>300</v>
      </c>
      <c r="H219" s="17" t="s">
        <v>296</v>
      </c>
      <c r="I219" s="17" t="s">
        <v>301</v>
      </c>
    </row>
    <row r="220" spans="1:9" ht="27.75" customHeight="1" x14ac:dyDescent="0.3">
      <c r="A220" s="18" t="s">
        <v>386</v>
      </c>
      <c r="B220" s="19" t="s">
        <v>36</v>
      </c>
      <c r="C220" s="19" t="s">
        <v>294</v>
      </c>
      <c r="D220" s="19" t="s">
        <v>80</v>
      </c>
      <c r="E220" s="19" t="s">
        <v>69</v>
      </c>
      <c r="F220" s="18">
        <v>3</v>
      </c>
      <c r="G220" s="19" t="s">
        <v>302</v>
      </c>
      <c r="H220" s="19" t="s">
        <v>296</v>
      </c>
      <c r="I220" s="19" t="s">
        <v>303</v>
      </c>
    </row>
    <row r="221" spans="1:9" ht="27.75" customHeight="1" x14ac:dyDescent="0.3">
      <c r="A221" s="16" t="s">
        <v>386</v>
      </c>
      <c r="B221" s="17" t="s">
        <v>37</v>
      </c>
      <c r="C221" s="17" t="s">
        <v>304</v>
      </c>
      <c r="D221" s="17" t="s">
        <v>68</v>
      </c>
      <c r="E221" s="17" t="s">
        <v>90</v>
      </c>
      <c r="F221" s="16">
        <v>2</v>
      </c>
      <c r="G221" s="17" t="s">
        <v>305</v>
      </c>
      <c r="H221" s="17" t="s">
        <v>306</v>
      </c>
      <c r="I221" s="17" t="s">
        <v>307</v>
      </c>
    </row>
    <row r="222" spans="1:9" ht="27.75" customHeight="1" x14ac:dyDescent="0.3">
      <c r="A222" s="18" t="s">
        <v>386</v>
      </c>
      <c r="B222" s="19" t="s">
        <v>37</v>
      </c>
      <c r="C222" s="19" t="s">
        <v>304</v>
      </c>
      <c r="D222" s="19" t="s">
        <v>73</v>
      </c>
      <c r="E222" s="19" t="s">
        <v>90</v>
      </c>
      <c r="F222" s="18">
        <v>2</v>
      </c>
      <c r="G222" s="19" t="s">
        <v>308</v>
      </c>
      <c r="H222" s="19" t="s">
        <v>306</v>
      </c>
      <c r="I222" s="19" t="s">
        <v>309</v>
      </c>
    </row>
    <row r="223" spans="1:9" ht="27.75" customHeight="1" x14ac:dyDescent="0.3">
      <c r="A223" s="16" t="s">
        <v>386</v>
      </c>
      <c r="B223" s="17" t="s">
        <v>37</v>
      </c>
      <c r="C223" s="17" t="s">
        <v>304</v>
      </c>
      <c r="D223" s="17" t="s">
        <v>77</v>
      </c>
      <c r="E223" s="17" t="s">
        <v>119</v>
      </c>
      <c r="F223" s="16">
        <v>1.5</v>
      </c>
      <c r="G223" s="17" t="s">
        <v>310</v>
      </c>
      <c r="H223" s="17" t="s">
        <v>306</v>
      </c>
      <c r="I223" s="17" t="s">
        <v>311</v>
      </c>
    </row>
    <row r="224" spans="1:9" ht="27.75" customHeight="1" x14ac:dyDescent="0.3">
      <c r="A224" s="18" t="s">
        <v>386</v>
      </c>
      <c r="B224" s="19" t="s">
        <v>37</v>
      </c>
      <c r="C224" s="19" t="s">
        <v>304</v>
      </c>
      <c r="D224" s="19" t="s">
        <v>80</v>
      </c>
      <c r="E224" s="19" t="s">
        <v>90</v>
      </c>
      <c r="F224" s="18">
        <v>2</v>
      </c>
      <c r="G224" s="19" t="s">
        <v>312</v>
      </c>
      <c r="H224" s="19" t="s">
        <v>306</v>
      </c>
      <c r="I224" s="19" t="s">
        <v>313</v>
      </c>
    </row>
    <row r="225" spans="1:9" ht="27.75" customHeight="1" x14ac:dyDescent="0.3">
      <c r="A225" s="16" t="s">
        <v>386</v>
      </c>
      <c r="B225" s="17" t="s">
        <v>38</v>
      </c>
      <c r="C225" s="17" t="s">
        <v>314</v>
      </c>
      <c r="D225" s="17" t="s">
        <v>68</v>
      </c>
      <c r="E225" s="17" t="s">
        <v>90</v>
      </c>
      <c r="F225" s="16">
        <v>2</v>
      </c>
      <c r="G225" s="17" t="s">
        <v>315</v>
      </c>
      <c r="H225" s="17" t="s">
        <v>316</v>
      </c>
      <c r="I225" s="17" t="s">
        <v>317</v>
      </c>
    </row>
    <row r="226" spans="1:9" ht="27.75" customHeight="1" x14ac:dyDescent="0.3">
      <c r="A226" s="18" t="s">
        <v>386</v>
      </c>
      <c r="B226" s="19" t="s">
        <v>38</v>
      </c>
      <c r="C226" s="19" t="s">
        <v>314</v>
      </c>
      <c r="D226" s="19" t="s">
        <v>73</v>
      </c>
      <c r="E226" s="19" t="s">
        <v>119</v>
      </c>
      <c r="F226" s="18">
        <v>1.5</v>
      </c>
      <c r="G226" s="19" t="s">
        <v>318</v>
      </c>
      <c r="H226" s="19" t="s">
        <v>316</v>
      </c>
      <c r="I226" s="19" t="s">
        <v>319</v>
      </c>
    </row>
    <row r="227" spans="1:9" ht="27.75" customHeight="1" x14ac:dyDescent="0.3">
      <c r="A227" s="16" t="s">
        <v>386</v>
      </c>
      <c r="B227" s="17" t="s">
        <v>38</v>
      </c>
      <c r="C227" s="17" t="s">
        <v>314</v>
      </c>
      <c r="D227" s="17" t="s">
        <v>77</v>
      </c>
      <c r="E227" s="17" t="s">
        <v>90</v>
      </c>
      <c r="F227" s="16">
        <v>2</v>
      </c>
      <c r="G227" s="17" t="s">
        <v>320</v>
      </c>
      <c r="H227" s="17" t="s">
        <v>316</v>
      </c>
      <c r="I227" s="17" t="s">
        <v>321</v>
      </c>
    </row>
    <row r="228" spans="1:9" ht="27.75" customHeight="1" x14ac:dyDescent="0.3">
      <c r="A228" s="18" t="s">
        <v>386</v>
      </c>
      <c r="B228" s="19" t="s">
        <v>38</v>
      </c>
      <c r="C228" s="19" t="s">
        <v>314</v>
      </c>
      <c r="D228" s="19" t="s">
        <v>80</v>
      </c>
      <c r="E228" s="19" t="s">
        <v>90</v>
      </c>
      <c r="F228" s="18">
        <v>2</v>
      </c>
      <c r="G228" s="19" t="s">
        <v>322</v>
      </c>
      <c r="H228" s="19" t="s">
        <v>316</v>
      </c>
      <c r="I228" s="19" t="s">
        <v>323</v>
      </c>
    </row>
    <row r="229" spans="1:9" ht="27.75" customHeight="1" x14ac:dyDescent="0.3">
      <c r="A229" s="16" t="s">
        <v>386</v>
      </c>
      <c r="B229" s="17" t="s">
        <v>39</v>
      </c>
      <c r="C229" s="17" t="s">
        <v>324</v>
      </c>
      <c r="D229" s="17" t="s">
        <v>68</v>
      </c>
      <c r="E229" s="17" t="s">
        <v>90</v>
      </c>
      <c r="F229" s="16">
        <v>2</v>
      </c>
      <c r="G229" s="17" t="s">
        <v>325</v>
      </c>
      <c r="H229" s="17" t="s">
        <v>326</v>
      </c>
      <c r="I229" s="17" t="s">
        <v>327</v>
      </c>
    </row>
    <row r="230" spans="1:9" ht="27.75" customHeight="1" x14ac:dyDescent="0.3">
      <c r="A230" s="18" t="s">
        <v>386</v>
      </c>
      <c r="B230" s="19" t="s">
        <v>39</v>
      </c>
      <c r="C230" s="19" t="s">
        <v>324</v>
      </c>
      <c r="D230" s="19" t="s">
        <v>73</v>
      </c>
      <c r="E230" s="19" t="s">
        <v>69</v>
      </c>
      <c r="F230" s="18">
        <v>3</v>
      </c>
      <c r="G230" s="19" t="s">
        <v>328</v>
      </c>
      <c r="H230" s="19" t="s">
        <v>326</v>
      </c>
      <c r="I230" s="19" t="s">
        <v>329</v>
      </c>
    </row>
    <row r="231" spans="1:9" ht="27.75" customHeight="1" x14ac:dyDescent="0.3">
      <c r="A231" s="16" t="s">
        <v>386</v>
      </c>
      <c r="B231" s="17" t="s">
        <v>39</v>
      </c>
      <c r="C231" s="17" t="s">
        <v>324</v>
      </c>
      <c r="D231" s="17" t="s">
        <v>77</v>
      </c>
      <c r="E231" s="17" t="s">
        <v>90</v>
      </c>
      <c r="F231" s="16">
        <v>2</v>
      </c>
      <c r="G231" s="17" t="s">
        <v>330</v>
      </c>
      <c r="H231" s="17" t="s">
        <v>326</v>
      </c>
      <c r="I231" s="17" t="s">
        <v>331</v>
      </c>
    </row>
    <row r="232" spans="1:9" ht="27.75" customHeight="1" x14ac:dyDescent="0.3">
      <c r="A232" s="18" t="s">
        <v>386</v>
      </c>
      <c r="B232" s="19" t="s">
        <v>39</v>
      </c>
      <c r="C232" s="19" t="s">
        <v>324</v>
      </c>
      <c r="D232" s="19" t="s">
        <v>80</v>
      </c>
      <c r="E232" s="19" t="s">
        <v>90</v>
      </c>
      <c r="F232" s="18">
        <v>2</v>
      </c>
      <c r="G232" s="19" t="s">
        <v>332</v>
      </c>
      <c r="H232" s="19" t="s">
        <v>326</v>
      </c>
      <c r="I232" s="19" t="s">
        <v>333</v>
      </c>
    </row>
    <row r="233" spans="1:9" ht="27.75" customHeight="1" x14ac:dyDescent="0.3">
      <c r="A233" s="16" t="s">
        <v>386</v>
      </c>
      <c r="B233" s="17" t="s">
        <v>40</v>
      </c>
      <c r="C233" s="17" t="s">
        <v>334</v>
      </c>
      <c r="D233" s="17" t="s">
        <v>68</v>
      </c>
      <c r="E233" s="17" t="s">
        <v>69</v>
      </c>
      <c r="F233" s="16">
        <v>3</v>
      </c>
      <c r="G233" s="17" t="s">
        <v>335</v>
      </c>
      <c r="H233" s="17" t="s">
        <v>336</v>
      </c>
      <c r="I233" s="17" t="s">
        <v>337</v>
      </c>
    </row>
    <row r="234" spans="1:9" ht="27.75" customHeight="1" x14ac:dyDescent="0.3">
      <c r="A234" s="18" t="s">
        <v>386</v>
      </c>
      <c r="B234" s="19" t="s">
        <v>40</v>
      </c>
      <c r="C234" s="19" t="s">
        <v>334</v>
      </c>
      <c r="D234" s="19" t="s">
        <v>73</v>
      </c>
      <c r="E234" s="19" t="s">
        <v>119</v>
      </c>
      <c r="F234" s="18">
        <v>1.5</v>
      </c>
      <c r="G234" s="19" t="s">
        <v>338</v>
      </c>
      <c r="H234" s="19" t="s">
        <v>336</v>
      </c>
      <c r="I234" s="19" t="s">
        <v>339</v>
      </c>
    </row>
    <row r="235" spans="1:9" ht="27.75" customHeight="1" x14ac:dyDescent="0.3">
      <c r="A235" s="16" t="s">
        <v>386</v>
      </c>
      <c r="B235" s="17" t="s">
        <v>40</v>
      </c>
      <c r="C235" s="17" t="s">
        <v>334</v>
      </c>
      <c r="D235" s="17" t="s">
        <v>77</v>
      </c>
      <c r="E235" s="17" t="s">
        <v>90</v>
      </c>
      <c r="F235" s="16">
        <v>2</v>
      </c>
      <c r="G235" s="17" t="s">
        <v>340</v>
      </c>
      <c r="H235" s="17" t="s">
        <v>336</v>
      </c>
      <c r="I235" s="17" t="s">
        <v>341</v>
      </c>
    </row>
    <row r="236" spans="1:9" ht="27.75" customHeight="1" x14ac:dyDescent="0.3">
      <c r="A236" s="18" t="s">
        <v>386</v>
      </c>
      <c r="B236" s="19" t="s">
        <v>40</v>
      </c>
      <c r="C236" s="19" t="s">
        <v>334</v>
      </c>
      <c r="D236" s="19" t="s">
        <v>80</v>
      </c>
      <c r="E236" s="19" t="s">
        <v>90</v>
      </c>
      <c r="F236" s="18">
        <v>2</v>
      </c>
      <c r="G236" s="19" t="s">
        <v>342</v>
      </c>
      <c r="H236" s="19" t="s">
        <v>336</v>
      </c>
      <c r="I236" s="19" t="s">
        <v>343</v>
      </c>
    </row>
    <row r="237" spans="1:9" ht="27.75" customHeight="1" x14ac:dyDescent="0.3">
      <c r="A237" s="16" t="s">
        <v>386</v>
      </c>
      <c r="B237" s="17" t="s">
        <v>41</v>
      </c>
      <c r="C237" s="17" t="s">
        <v>344</v>
      </c>
      <c r="D237" s="17" t="s">
        <v>68</v>
      </c>
      <c r="E237" s="17" t="s">
        <v>69</v>
      </c>
      <c r="F237" s="16">
        <v>3</v>
      </c>
      <c r="G237" s="17" t="s">
        <v>345</v>
      </c>
      <c r="H237" s="17" t="s">
        <v>346</v>
      </c>
      <c r="I237" s="17" t="s">
        <v>347</v>
      </c>
    </row>
    <row r="238" spans="1:9" ht="27.75" customHeight="1" x14ac:dyDescent="0.3">
      <c r="A238" s="18" t="s">
        <v>386</v>
      </c>
      <c r="B238" s="19" t="s">
        <v>41</v>
      </c>
      <c r="C238" s="19" t="s">
        <v>344</v>
      </c>
      <c r="D238" s="19" t="s">
        <v>73</v>
      </c>
      <c r="E238" s="19" t="s">
        <v>69</v>
      </c>
      <c r="F238" s="18">
        <v>3</v>
      </c>
      <c r="G238" s="19" t="s">
        <v>348</v>
      </c>
      <c r="H238" s="19" t="s">
        <v>346</v>
      </c>
      <c r="I238" s="19" t="s">
        <v>349</v>
      </c>
    </row>
    <row r="239" spans="1:9" ht="27.75" customHeight="1" x14ac:dyDescent="0.3">
      <c r="A239" s="16" t="s">
        <v>386</v>
      </c>
      <c r="B239" s="17" t="s">
        <v>41</v>
      </c>
      <c r="C239" s="17" t="s">
        <v>344</v>
      </c>
      <c r="D239" s="17" t="s">
        <v>77</v>
      </c>
      <c r="E239" s="17" t="s">
        <v>74</v>
      </c>
      <c r="F239" s="16">
        <v>2.5</v>
      </c>
      <c r="G239" s="17" t="s">
        <v>350</v>
      </c>
      <c r="H239" s="17" t="s">
        <v>346</v>
      </c>
      <c r="I239" s="17" t="s">
        <v>351</v>
      </c>
    </row>
    <row r="240" spans="1:9" ht="27.75" customHeight="1" x14ac:dyDescent="0.3">
      <c r="A240" s="18" t="s">
        <v>386</v>
      </c>
      <c r="B240" s="19" t="s">
        <v>41</v>
      </c>
      <c r="C240" s="19" t="s">
        <v>344</v>
      </c>
      <c r="D240" s="19" t="s">
        <v>80</v>
      </c>
      <c r="E240" s="19" t="s">
        <v>69</v>
      </c>
      <c r="F240" s="18">
        <v>3</v>
      </c>
      <c r="G240" s="19" t="s">
        <v>352</v>
      </c>
      <c r="H240" s="19" t="s">
        <v>346</v>
      </c>
      <c r="I240" s="19" t="s">
        <v>353</v>
      </c>
    </row>
    <row r="241" spans="1:9" ht="27.75" customHeight="1" x14ac:dyDescent="0.3">
      <c r="A241" s="16" t="s">
        <v>386</v>
      </c>
      <c r="B241" s="17" t="s">
        <v>354</v>
      </c>
      <c r="C241" s="17" t="s">
        <v>355</v>
      </c>
      <c r="D241" s="17" t="s">
        <v>68</v>
      </c>
      <c r="E241" s="17" t="s">
        <v>69</v>
      </c>
      <c r="F241" s="16">
        <v>3</v>
      </c>
      <c r="G241" s="17" t="s">
        <v>356</v>
      </c>
      <c r="H241" s="17" t="s">
        <v>357</v>
      </c>
      <c r="I241" s="17" t="s">
        <v>358</v>
      </c>
    </row>
    <row r="242" spans="1:9" ht="27.75" customHeight="1" x14ac:dyDescent="0.3">
      <c r="A242" s="18" t="s">
        <v>386</v>
      </c>
      <c r="B242" s="19" t="s">
        <v>354</v>
      </c>
      <c r="C242" s="19" t="s">
        <v>355</v>
      </c>
      <c r="D242" s="19" t="s">
        <v>73</v>
      </c>
      <c r="E242" s="19" t="s">
        <v>87</v>
      </c>
      <c r="F242" s="18">
        <v>1</v>
      </c>
      <c r="G242" s="19" t="s">
        <v>359</v>
      </c>
      <c r="H242" s="19" t="s">
        <v>357</v>
      </c>
      <c r="I242" s="19" t="s">
        <v>360</v>
      </c>
    </row>
    <row r="243" spans="1:9" ht="27.75" customHeight="1" x14ac:dyDescent="0.3">
      <c r="A243" s="16" t="s">
        <v>386</v>
      </c>
      <c r="B243" s="17" t="s">
        <v>354</v>
      </c>
      <c r="C243" s="17" t="s">
        <v>355</v>
      </c>
      <c r="D243" s="17" t="s">
        <v>77</v>
      </c>
      <c r="E243" s="17" t="s">
        <v>87</v>
      </c>
      <c r="F243" s="16">
        <v>1</v>
      </c>
      <c r="G243" s="17" t="s">
        <v>361</v>
      </c>
      <c r="H243" s="17" t="s">
        <v>357</v>
      </c>
      <c r="I243" s="17" t="s">
        <v>362</v>
      </c>
    </row>
    <row r="244" spans="1:9" ht="27.75" customHeight="1" x14ac:dyDescent="0.3">
      <c r="A244" s="18" t="s">
        <v>386</v>
      </c>
      <c r="B244" s="19" t="s">
        <v>354</v>
      </c>
      <c r="C244" s="19" t="s">
        <v>355</v>
      </c>
      <c r="D244" s="19" t="s">
        <v>80</v>
      </c>
      <c r="E244" s="19" t="s">
        <v>87</v>
      </c>
      <c r="F244" s="18">
        <v>1</v>
      </c>
      <c r="G244" s="19" t="s">
        <v>363</v>
      </c>
      <c r="H244" s="19" t="s">
        <v>357</v>
      </c>
      <c r="I244" s="19" t="s">
        <v>364</v>
      </c>
    </row>
    <row r="245" spans="1:9" ht="27.75" customHeight="1" x14ac:dyDescent="0.3">
      <c r="A245" s="16" t="s">
        <v>386</v>
      </c>
      <c r="B245" s="17" t="s">
        <v>48</v>
      </c>
      <c r="C245" s="17" t="s">
        <v>365</v>
      </c>
      <c r="D245" s="17" t="s">
        <v>68</v>
      </c>
      <c r="E245" s="17" t="s">
        <v>90</v>
      </c>
      <c r="F245" s="16">
        <v>2</v>
      </c>
      <c r="G245" s="17" t="s">
        <v>366</v>
      </c>
      <c r="H245" s="17" t="s">
        <v>367</v>
      </c>
      <c r="I245" s="17" t="s">
        <v>368</v>
      </c>
    </row>
    <row r="246" spans="1:9" ht="27.75" customHeight="1" x14ac:dyDescent="0.3">
      <c r="A246" s="18" t="s">
        <v>386</v>
      </c>
      <c r="B246" s="19" t="s">
        <v>48</v>
      </c>
      <c r="C246" s="19" t="s">
        <v>365</v>
      </c>
      <c r="D246" s="19" t="s">
        <v>73</v>
      </c>
      <c r="E246" s="19" t="s">
        <v>90</v>
      </c>
      <c r="F246" s="18">
        <v>2</v>
      </c>
      <c r="G246" s="19" t="s">
        <v>369</v>
      </c>
      <c r="H246" s="19" t="s">
        <v>367</v>
      </c>
      <c r="I246" s="19" t="s">
        <v>370</v>
      </c>
    </row>
    <row r="247" spans="1:9" ht="27.75" customHeight="1" x14ac:dyDescent="0.3">
      <c r="A247" s="16" t="s">
        <v>386</v>
      </c>
      <c r="B247" s="17" t="s">
        <v>48</v>
      </c>
      <c r="C247" s="17" t="s">
        <v>365</v>
      </c>
      <c r="D247" s="17" t="s">
        <v>77</v>
      </c>
      <c r="E247" s="17" t="s">
        <v>90</v>
      </c>
      <c r="F247" s="16">
        <v>2</v>
      </c>
      <c r="G247" s="17" t="s">
        <v>371</v>
      </c>
      <c r="H247" s="17" t="s">
        <v>367</v>
      </c>
      <c r="I247" s="17" t="s">
        <v>372</v>
      </c>
    </row>
    <row r="248" spans="1:9" ht="27.75" customHeight="1" x14ac:dyDescent="0.3">
      <c r="A248" s="18" t="s">
        <v>386</v>
      </c>
      <c r="B248" s="19" t="s">
        <v>48</v>
      </c>
      <c r="C248" s="19" t="s">
        <v>365</v>
      </c>
      <c r="D248" s="19" t="s">
        <v>80</v>
      </c>
      <c r="E248" s="19" t="s">
        <v>90</v>
      </c>
      <c r="F248" s="18">
        <v>2</v>
      </c>
      <c r="G248" s="19" t="s">
        <v>373</v>
      </c>
      <c r="H248" s="19" t="s">
        <v>367</v>
      </c>
      <c r="I248" s="19" t="s">
        <v>374</v>
      </c>
    </row>
    <row r="249" spans="1:9" ht="27.75" customHeight="1" x14ac:dyDescent="0.3">
      <c r="A249" s="16" t="s">
        <v>386</v>
      </c>
      <c r="B249" s="17" t="s">
        <v>375</v>
      </c>
      <c r="C249" s="17" t="s">
        <v>376</v>
      </c>
      <c r="D249" s="17" t="s">
        <v>68</v>
      </c>
      <c r="E249" s="17" t="s">
        <v>69</v>
      </c>
      <c r="F249" s="16">
        <v>3</v>
      </c>
      <c r="G249" s="17" t="s">
        <v>377</v>
      </c>
      <c r="H249" s="17" t="s">
        <v>378</v>
      </c>
      <c r="I249" s="17" t="s">
        <v>379</v>
      </c>
    </row>
    <row r="250" spans="1:9" ht="27.75" customHeight="1" x14ac:dyDescent="0.3">
      <c r="A250" s="18" t="s">
        <v>386</v>
      </c>
      <c r="B250" s="19" t="s">
        <v>375</v>
      </c>
      <c r="C250" s="19" t="s">
        <v>376</v>
      </c>
      <c r="D250" s="19" t="s">
        <v>73</v>
      </c>
      <c r="E250" s="19" t="s">
        <v>87</v>
      </c>
      <c r="F250" s="18">
        <v>1</v>
      </c>
      <c r="G250" s="19" t="s">
        <v>380</v>
      </c>
      <c r="H250" s="19" t="s">
        <v>378</v>
      </c>
      <c r="I250" s="19" t="s">
        <v>381</v>
      </c>
    </row>
    <row r="251" spans="1:9" ht="27.75" customHeight="1" x14ac:dyDescent="0.3">
      <c r="A251" s="16" t="s">
        <v>386</v>
      </c>
      <c r="B251" s="17" t="s">
        <v>375</v>
      </c>
      <c r="C251" s="17" t="s">
        <v>376</v>
      </c>
      <c r="D251" s="17" t="s">
        <v>77</v>
      </c>
      <c r="E251" s="17" t="s">
        <v>90</v>
      </c>
      <c r="F251" s="16">
        <v>2</v>
      </c>
      <c r="G251" s="17" t="s">
        <v>382</v>
      </c>
      <c r="H251" s="17" t="s">
        <v>378</v>
      </c>
      <c r="I251" s="17" t="s">
        <v>383</v>
      </c>
    </row>
    <row r="252" spans="1:9" ht="27.75" customHeight="1" x14ac:dyDescent="0.3">
      <c r="A252" s="18" t="s">
        <v>386</v>
      </c>
      <c r="B252" s="19" t="s">
        <v>375</v>
      </c>
      <c r="C252" s="19" t="s">
        <v>376</v>
      </c>
      <c r="D252" s="19" t="s">
        <v>80</v>
      </c>
      <c r="E252" s="19" t="s">
        <v>87</v>
      </c>
      <c r="F252" s="18">
        <v>1</v>
      </c>
      <c r="G252" s="19" t="s">
        <v>384</v>
      </c>
      <c r="H252" s="19" t="s">
        <v>378</v>
      </c>
      <c r="I252" s="19" t="s">
        <v>385</v>
      </c>
    </row>
    <row r="253" spans="1:9" ht="27.75" customHeight="1" x14ac:dyDescent="0.3">
      <c r="A253" s="16" t="s">
        <v>387</v>
      </c>
      <c r="B253" s="17" t="s">
        <v>12</v>
      </c>
      <c r="C253" s="17" t="s">
        <v>57</v>
      </c>
      <c r="D253" s="17" t="s">
        <v>68</v>
      </c>
      <c r="E253" s="17" t="s">
        <v>69</v>
      </c>
      <c r="F253" s="16">
        <v>3</v>
      </c>
      <c r="G253" s="17" t="s">
        <v>70</v>
      </c>
      <c r="H253" s="17" t="s">
        <v>71</v>
      </c>
      <c r="I253" s="17" t="s">
        <v>72</v>
      </c>
    </row>
    <row r="254" spans="1:9" ht="27.75" customHeight="1" x14ac:dyDescent="0.3">
      <c r="A254" s="18" t="s">
        <v>387</v>
      </c>
      <c r="B254" s="19" t="s">
        <v>12</v>
      </c>
      <c r="C254" s="19" t="s">
        <v>57</v>
      </c>
      <c r="D254" s="19" t="s">
        <v>73</v>
      </c>
      <c r="E254" s="19" t="s">
        <v>74</v>
      </c>
      <c r="F254" s="18">
        <v>2.5</v>
      </c>
      <c r="G254" s="19" t="s">
        <v>75</v>
      </c>
      <c r="H254" s="19" t="s">
        <v>71</v>
      </c>
      <c r="I254" s="19" t="s">
        <v>76</v>
      </c>
    </row>
    <row r="255" spans="1:9" ht="27.75" customHeight="1" x14ac:dyDescent="0.3">
      <c r="A255" s="16" t="s">
        <v>387</v>
      </c>
      <c r="B255" s="17" t="s">
        <v>12</v>
      </c>
      <c r="C255" s="17" t="s">
        <v>57</v>
      </c>
      <c r="D255" s="17" t="s">
        <v>77</v>
      </c>
      <c r="E255" s="17" t="s">
        <v>69</v>
      </c>
      <c r="F255" s="16">
        <v>3</v>
      </c>
      <c r="G255" s="17" t="s">
        <v>78</v>
      </c>
      <c r="H255" s="17" t="s">
        <v>71</v>
      </c>
      <c r="I255" s="17" t="s">
        <v>79</v>
      </c>
    </row>
    <row r="256" spans="1:9" ht="27.75" customHeight="1" x14ac:dyDescent="0.3">
      <c r="A256" s="18" t="s">
        <v>387</v>
      </c>
      <c r="B256" s="19" t="s">
        <v>12</v>
      </c>
      <c r="C256" s="19" t="s">
        <v>57</v>
      </c>
      <c r="D256" s="19" t="s">
        <v>80</v>
      </c>
      <c r="E256" s="19" t="s">
        <v>69</v>
      </c>
      <c r="F256" s="18">
        <v>3</v>
      </c>
      <c r="G256" s="19" t="s">
        <v>81</v>
      </c>
      <c r="H256" s="19" t="s">
        <v>71</v>
      </c>
      <c r="I256" s="19" t="s">
        <v>82</v>
      </c>
    </row>
    <row r="257" spans="1:9" ht="27.75" customHeight="1" x14ac:dyDescent="0.3">
      <c r="A257" s="16" t="s">
        <v>387</v>
      </c>
      <c r="B257" s="17" t="s">
        <v>14</v>
      </c>
      <c r="C257" s="17" t="s">
        <v>83</v>
      </c>
      <c r="D257" s="17" t="s">
        <v>68</v>
      </c>
      <c r="E257" s="17" t="s">
        <v>69</v>
      </c>
      <c r="F257" s="16">
        <v>3</v>
      </c>
      <c r="G257" s="17" t="s">
        <v>84</v>
      </c>
      <c r="H257" s="17" t="s">
        <v>85</v>
      </c>
      <c r="I257" s="17" t="s">
        <v>86</v>
      </c>
    </row>
    <row r="258" spans="1:9" ht="27.75" customHeight="1" x14ac:dyDescent="0.3">
      <c r="A258" s="18" t="s">
        <v>387</v>
      </c>
      <c r="B258" s="19" t="s">
        <v>14</v>
      </c>
      <c r="C258" s="19" t="s">
        <v>83</v>
      </c>
      <c r="D258" s="19" t="s">
        <v>73</v>
      </c>
      <c r="E258" s="19" t="s">
        <v>87</v>
      </c>
      <c r="F258" s="18">
        <v>1</v>
      </c>
      <c r="G258" s="19" t="s">
        <v>88</v>
      </c>
      <c r="H258" s="19" t="s">
        <v>85</v>
      </c>
      <c r="I258" s="19" t="s">
        <v>89</v>
      </c>
    </row>
    <row r="259" spans="1:9" ht="27.75" customHeight="1" x14ac:dyDescent="0.3">
      <c r="A259" s="16" t="s">
        <v>387</v>
      </c>
      <c r="B259" s="17" t="s">
        <v>14</v>
      </c>
      <c r="C259" s="17" t="s">
        <v>83</v>
      </c>
      <c r="D259" s="17" t="s">
        <v>77</v>
      </c>
      <c r="E259" s="17" t="s">
        <v>90</v>
      </c>
      <c r="F259" s="16">
        <v>2</v>
      </c>
      <c r="G259" s="17" t="s">
        <v>91</v>
      </c>
      <c r="H259" s="17" t="s">
        <v>85</v>
      </c>
      <c r="I259" s="17" t="s">
        <v>92</v>
      </c>
    </row>
    <row r="260" spans="1:9" ht="27.75" customHeight="1" x14ac:dyDescent="0.3">
      <c r="A260" s="18" t="s">
        <v>387</v>
      </c>
      <c r="B260" s="19" t="s">
        <v>14</v>
      </c>
      <c r="C260" s="19" t="s">
        <v>83</v>
      </c>
      <c r="D260" s="19" t="s">
        <v>80</v>
      </c>
      <c r="E260" s="19" t="s">
        <v>90</v>
      </c>
      <c r="F260" s="18">
        <v>2</v>
      </c>
      <c r="G260" s="19" t="s">
        <v>93</v>
      </c>
      <c r="H260" s="19" t="s">
        <v>85</v>
      </c>
      <c r="I260" s="19" t="s">
        <v>94</v>
      </c>
    </row>
    <row r="261" spans="1:9" ht="27.75" customHeight="1" x14ac:dyDescent="0.3">
      <c r="A261" s="16" t="s">
        <v>387</v>
      </c>
      <c r="B261" s="17" t="s">
        <v>15</v>
      </c>
      <c r="C261" s="17" t="s">
        <v>95</v>
      </c>
      <c r="D261" s="17" t="s">
        <v>68</v>
      </c>
      <c r="E261" s="17" t="s">
        <v>69</v>
      </c>
      <c r="F261" s="16">
        <v>3</v>
      </c>
      <c r="G261" s="17" t="s">
        <v>96</v>
      </c>
      <c r="H261" s="17" t="s">
        <v>97</v>
      </c>
      <c r="I261" s="17" t="s">
        <v>98</v>
      </c>
    </row>
    <row r="262" spans="1:9" ht="27.75" customHeight="1" x14ac:dyDescent="0.3">
      <c r="A262" s="18" t="s">
        <v>387</v>
      </c>
      <c r="B262" s="19" t="s">
        <v>15</v>
      </c>
      <c r="C262" s="19" t="s">
        <v>95</v>
      </c>
      <c r="D262" s="19" t="s">
        <v>73</v>
      </c>
      <c r="E262" s="19" t="s">
        <v>90</v>
      </c>
      <c r="F262" s="18">
        <v>2</v>
      </c>
      <c r="G262" s="19" t="s">
        <v>99</v>
      </c>
      <c r="H262" s="19" t="s">
        <v>97</v>
      </c>
      <c r="I262" s="19" t="s">
        <v>100</v>
      </c>
    </row>
    <row r="263" spans="1:9" ht="27.75" customHeight="1" x14ac:dyDescent="0.3">
      <c r="A263" s="16" t="s">
        <v>387</v>
      </c>
      <c r="B263" s="17" t="s">
        <v>15</v>
      </c>
      <c r="C263" s="17" t="s">
        <v>95</v>
      </c>
      <c r="D263" s="17" t="s">
        <v>77</v>
      </c>
      <c r="E263" s="17" t="s">
        <v>90</v>
      </c>
      <c r="F263" s="16">
        <v>2</v>
      </c>
      <c r="G263" s="17" t="s">
        <v>101</v>
      </c>
      <c r="H263" s="17" t="s">
        <v>97</v>
      </c>
      <c r="I263" s="17" t="s">
        <v>102</v>
      </c>
    </row>
    <row r="264" spans="1:9" ht="27.75" customHeight="1" x14ac:dyDescent="0.3">
      <c r="A264" s="18" t="s">
        <v>387</v>
      </c>
      <c r="B264" s="19" t="s">
        <v>15</v>
      </c>
      <c r="C264" s="19" t="s">
        <v>95</v>
      </c>
      <c r="D264" s="19" t="s">
        <v>80</v>
      </c>
      <c r="E264" s="19" t="s">
        <v>69</v>
      </c>
      <c r="F264" s="18">
        <v>3</v>
      </c>
      <c r="G264" s="19" t="s">
        <v>103</v>
      </c>
      <c r="H264" s="19" t="s">
        <v>97</v>
      </c>
      <c r="I264" s="19" t="s">
        <v>104</v>
      </c>
    </row>
    <row r="265" spans="1:9" ht="27.75" customHeight="1" x14ac:dyDescent="0.3">
      <c r="A265" s="16" t="s">
        <v>387</v>
      </c>
      <c r="B265" s="17" t="s">
        <v>16</v>
      </c>
      <c r="C265" s="17" t="s">
        <v>105</v>
      </c>
      <c r="D265" s="17" t="s">
        <v>68</v>
      </c>
      <c r="E265" s="17" t="s">
        <v>69</v>
      </c>
      <c r="F265" s="16">
        <v>3</v>
      </c>
      <c r="G265" s="17" t="s">
        <v>106</v>
      </c>
      <c r="H265" s="17" t="s">
        <v>107</v>
      </c>
      <c r="I265" s="17" t="s">
        <v>108</v>
      </c>
    </row>
    <row r="266" spans="1:9" ht="27.75" customHeight="1" x14ac:dyDescent="0.3">
      <c r="A266" s="18" t="s">
        <v>387</v>
      </c>
      <c r="B266" s="19" t="s">
        <v>16</v>
      </c>
      <c r="C266" s="19" t="s">
        <v>105</v>
      </c>
      <c r="D266" s="19" t="s">
        <v>73</v>
      </c>
      <c r="E266" s="19" t="s">
        <v>74</v>
      </c>
      <c r="F266" s="18">
        <v>2.5</v>
      </c>
      <c r="G266" s="19" t="s">
        <v>109</v>
      </c>
      <c r="H266" s="19" t="s">
        <v>107</v>
      </c>
      <c r="I266" s="19" t="s">
        <v>110</v>
      </c>
    </row>
    <row r="267" spans="1:9" ht="27.75" customHeight="1" x14ac:dyDescent="0.3">
      <c r="A267" s="16" t="s">
        <v>387</v>
      </c>
      <c r="B267" s="17" t="s">
        <v>16</v>
      </c>
      <c r="C267" s="17" t="s">
        <v>105</v>
      </c>
      <c r="D267" s="17" t="s">
        <v>77</v>
      </c>
      <c r="E267" s="17" t="s">
        <v>90</v>
      </c>
      <c r="F267" s="16">
        <v>2</v>
      </c>
      <c r="G267" s="17" t="s">
        <v>111</v>
      </c>
      <c r="H267" s="17" t="s">
        <v>107</v>
      </c>
      <c r="I267" s="17" t="s">
        <v>112</v>
      </c>
    </row>
    <row r="268" spans="1:9" ht="27.75" customHeight="1" x14ac:dyDescent="0.3">
      <c r="A268" s="18" t="s">
        <v>387</v>
      </c>
      <c r="B268" s="19" t="s">
        <v>16</v>
      </c>
      <c r="C268" s="19" t="s">
        <v>105</v>
      </c>
      <c r="D268" s="19" t="s">
        <v>80</v>
      </c>
      <c r="E268" s="19" t="s">
        <v>90</v>
      </c>
      <c r="F268" s="18">
        <v>2</v>
      </c>
      <c r="G268" s="19" t="s">
        <v>113</v>
      </c>
      <c r="H268" s="19" t="s">
        <v>107</v>
      </c>
      <c r="I268" s="19" t="s">
        <v>114</v>
      </c>
    </row>
    <row r="269" spans="1:9" ht="27.75" customHeight="1" x14ac:dyDescent="0.3">
      <c r="A269" s="16" t="s">
        <v>387</v>
      </c>
      <c r="B269" s="17" t="s">
        <v>17</v>
      </c>
      <c r="C269" s="17" t="s">
        <v>115</v>
      </c>
      <c r="D269" s="17" t="s">
        <v>68</v>
      </c>
      <c r="E269" s="17" t="s">
        <v>90</v>
      </c>
      <c r="F269" s="16">
        <v>2</v>
      </c>
      <c r="G269" s="17" t="s">
        <v>116</v>
      </c>
      <c r="H269" s="17" t="s">
        <v>117</v>
      </c>
      <c r="I269" s="17" t="s">
        <v>118</v>
      </c>
    </row>
    <row r="270" spans="1:9" ht="27.75" customHeight="1" x14ac:dyDescent="0.3">
      <c r="A270" s="18" t="s">
        <v>387</v>
      </c>
      <c r="B270" s="19" t="s">
        <v>17</v>
      </c>
      <c r="C270" s="19" t="s">
        <v>115</v>
      </c>
      <c r="D270" s="19" t="s">
        <v>73</v>
      </c>
      <c r="E270" s="19" t="s">
        <v>119</v>
      </c>
      <c r="F270" s="18">
        <v>1.5</v>
      </c>
      <c r="G270" s="19" t="s">
        <v>120</v>
      </c>
      <c r="H270" s="19" t="s">
        <v>117</v>
      </c>
      <c r="I270" s="19" t="s">
        <v>121</v>
      </c>
    </row>
    <row r="271" spans="1:9" ht="27.75" customHeight="1" x14ac:dyDescent="0.3">
      <c r="A271" s="16" t="s">
        <v>387</v>
      </c>
      <c r="B271" s="17" t="s">
        <v>17</v>
      </c>
      <c r="C271" s="17" t="s">
        <v>115</v>
      </c>
      <c r="D271" s="17" t="s">
        <v>77</v>
      </c>
      <c r="E271" s="17" t="s">
        <v>87</v>
      </c>
      <c r="F271" s="16">
        <v>1</v>
      </c>
      <c r="G271" s="17" t="s">
        <v>122</v>
      </c>
      <c r="H271" s="17" t="s">
        <v>117</v>
      </c>
      <c r="I271" s="17" t="s">
        <v>123</v>
      </c>
    </row>
    <row r="272" spans="1:9" ht="27.75" customHeight="1" x14ac:dyDescent="0.3">
      <c r="A272" s="18" t="s">
        <v>387</v>
      </c>
      <c r="B272" s="19" t="s">
        <v>17</v>
      </c>
      <c r="C272" s="19" t="s">
        <v>115</v>
      </c>
      <c r="D272" s="19" t="s">
        <v>80</v>
      </c>
      <c r="E272" s="19" t="s">
        <v>90</v>
      </c>
      <c r="F272" s="18">
        <v>2</v>
      </c>
      <c r="G272" s="19" t="s">
        <v>124</v>
      </c>
      <c r="H272" s="19" t="s">
        <v>117</v>
      </c>
      <c r="I272" s="19" t="s">
        <v>125</v>
      </c>
    </row>
    <row r="273" spans="1:9" ht="27.75" customHeight="1" x14ac:dyDescent="0.3">
      <c r="A273" s="16" t="s">
        <v>387</v>
      </c>
      <c r="B273" s="17" t="s">
        <v>18</v>
      </c>
      <c r="C273" s="17" t="s">
        <v>126</v>
      </c>
      <c r="D273" s="17" t="s">
        <v>68</v>
      </c>
      <c r="E273" s="17" t="s">
        <v>90</v>
      </c>
      <c r="F273" s="16">
        <v>2</v>
      </c>
      <c r="G273" s="17" t="s">
        <v>127</v>
      </c>
      <c r="H273" s="17" t="s">
        <v>128</v>
      </c>
      <c r="I273" s="17" t="s">
        <v>129</v>
      </c>
    </row>
    <row r="274" spans="1:9" ht="27.75" customHeight="1" x14ac:dyDescent="0.3">
      <c r="A274" s="18" t="s">
        <v>387</v>
      </c>
      <c r="B274" s="19" t="s">
        <v>18</v>
      </c>
      <c r="C274" s="19" t="s">
        <v>126</v>
      </c>
      <c r="D274" s="19" t="s">
        <v>73</v>
      </c>
      <c r="E274" s="19" t="s">
        <v>90</v>
      </c>
      <c r="F274" s="18">
        <v>2</v>
      </c>
      <c r="G274" s="19" t="s">
        <v>130</v>
      </c>
      <c r="H274" s="19" t="s">
        <v>128</v>
      </c>
      <c r="I274" s="19" t="s">
        <v>131</v>
      </c>
    </row>
    <row r="275" spans="1:9" ht="27.75" customHeight="1" x14ac:dyDescent="0.3">
      <c r="A275" s="16" t="s">
        <v>387</v>
      </c>
      <c r="B275" s="17" t="s">
        <v>18</v>
      </c>
      <c r="C275" s="17" t="s">
        <v>126</v>
      </c>
      <c r="D275" s="17" t="s">
        <v>77</v>
      </c>
      <c r="E275" s="17" t="s">
        <v>90</v>
      </c>
      <c r="F275" s="16">
        <v>2</v>
      </c>
      <c r="G275" s="17" t="s">
        <v>132</v>
      </c>
      <c r="H275" s="17" t="s">
        <v>128</v>
      </c>
      <c r="I275" s="17" t="s">
        <v>133</v>
      </c>
    </row>
    <row r="276" spans="1:9" ht="27.75" customHeight="1" x14ac:dyDescent="0.3">
      <c r="A276" s="18" t="s">
        <v>387</v>
      </c>
      <c r="B276" s="19" t="s">
        <v>18</v>
      </c>
      <c r="C276" s="19" t="s">
        <v>126</v>
      </c>
      <c r="D276" s="19" t="s">
        <v>80</v>
      </c>
      <c r="E276" s="19" t="s">
        <v>90</v>
      </c>
      <c r="F276" s="18">
        <v>2</v>
      </c>
      <c r="G276" s="19" t="s">
        <v>134</v>
      </c>
      <c r="H276" s="19" t="s">
        <v>128</v>
      </c>
      <c r="I276" s="19" t="s">
        <v>135</v>
      </c>
    </row>
    <row r="277" spans="1:9" ht="27.75" customHeight="1" x14ac:dyDescent="0.3">
      <c r="A277" s="16" t="s">
        <v>387</v>
      </c>
      <c r="B277" s="17" t="s">
        <v>19</v>
      </c>
      <c r="C277" s="17" t="s">
        <v>136</v>
      </c>
      <c r="D277" s="17" t="s">
        <v>68</v>
      </c>
      <c r="E277" s="17" t="s">
        <v>90</v>
      </c>
      <c r="F277" s="16">
        <v>2</v>
      </c>
      <c r="G277" s="17" t="s">
        <v>137</v>
      </c>
      <c r="H277" s="17" t="s">
        <v>138</v>
      </c>
      <c r="I277" s="17" t="s">
        <v>139</v>
      </c>
    </row>
    <row r="278" spans="1:9" ht="27.75" customHeight="1" x14ac:dyDescent="0.3">
      <c r="A278" s="18" t="s">
        <v>387</v>
      </c>
      <c r="B278" s="19" t="s">
        <v>19</v>
      </c>
      <c r="C278" s="19" t="s">
        <v>136</v>
      </c>
      <c r="D278" s="19" t="s">
        <v>73</v>
      </c>
      <c r="E278" s="19" t="s">
        <v>69</v>
      </c>
      <c r="F278" s="18">
        <v>3</v>
      </c>
      <c r="G278" s="19" t="s">
        <v>140</v>
      </c>
      <c r="H278" s="19" t="s">
        <v>138</v>
      </c>
      <c r="I278" s="19" t="s">
        <v>141</v>
      </c>
    </row>
    <row r="279" spans="1:9" ht="27.75" customHeight="1" x14ac:dyDescent="0.3">
      <c r="A279" s="16" t="s">
        <v>387</v>
      </c>
      <c r="B279" s="17" t="s">
        <v>19</v>
      </c>
      <c r="C279" s="17" t="s">
        <v>136</v>
      </c>
      <c r="D279" s="17" t="s">
        <v>77</v>
      </c>
      <c r="E279" s="17" t="s">
        <v>90</v>
      </c>
      <c r="F279" s="16">
        <v>2</v>
      </c>
      <c r="G279" s="17" t="s">
        <v>142</v>
      </c>
      <c r="H279" s="17" t="s">
        <v>138</v>
      </c>
      <c r="I279" s="17" t="s">
        <v>143</v>
      </c>
    </row>
    <row r="280" spans="1:9" ht="27.75" customHeight="1" x14ac:dyDescent="0.3">
      <c r="A280" s="18" t="s">
        <v>387</v>
      </c>
      <c r="B280" s="19" t="s">
        <v>19</v>
      </c>
      <c r="C280" s="19" t="s">
        <v>136</v>
      </c>
      <c r="D280" s="19" t="s">
        <v>80</v>
      </c>
      <c r="E280" s="19" t="s">
        <v>90</v>
      </c>
      <c r="F280" s="18">
        <v>2</v>
      </c>
      <c r="G280" s="19" t="s">
        <v>144</v>
      </c>
      <c r="H280" s="19" t="s">
        <v>138</v>
      </c>
      <c r="I280" s="19" t="s">
        <v>145</v>
      </c>
    </row>
    <row r="281" spans="1:9" ht="27.75" customHeight="1" x14ac:dyDescent="0.3">
      <c r="A281" s="16" t="s">
        <v>387</v>
      </c>
      <c r="B281" s="17" t="s">
        <v>20</v>
      </c>
      <c r="C281" s="17" t="s">
        <v>146</v>
      </c>
      <c r="D281" s="17" t="s">
        <v>68</v>
      </c>
      <c r="E281" s="17" t="s">
        <v>87</v>
      </c>
      <c r="F281" s="16">
        <v>1</v>
      </c>
      <c r="G281" s="17" t="s">
        <v>147</v>
      </c>
      <c r="H281" s="17" t="s">
        <v>148</v>
      </c>
      <c r="I281" s="17" t="s">
        <v>149</v>
      </c>
    </row>
    <row r="282" spans="1:9" ht="27.75" customHeight="1" x14ac:dyDescent="0.3">
      <c r="A282" s="18" t="s">
        <v>387</v>
      </c>
      <c r="B282" s="19" t="s">
        <v>20</v>
      </c>
      <c r="C282" s="19" t="s">
        <v>146</v>
      </c>
      <c r="D282" s="19" t="s">
        <v>73</v>
      </c>
      <c r="E282" s="19" t="s">
        <v>90</v>
      </c>
      <c r="F282" s="18">
        <v>2</v>
      </c>
      <c r="G282" s="19" t="s">
        <v>150</v>
      </c>
      <c r="H282" s="19" t="s">
        <v>148</v>
      </c>
      <c r="I282" s="19" t="s">
        <v>151</v>
      </c>
    </row>
    <row r="283" spans="1:9" ht="27.75" customHeight="1" x14ac:dyDescent="0.3">
      <c r="A283" s="16" t="s">
        <v>387</v>
      </c>
      <c r="B283" s="17" t="s">
        <v>20</v>
      </c>
      <c r="C283" s="17" t="s">
        <v>146</v>
      </c>
      <c r="D283" s="17" t="s">
        <v>77</v>
      </c>
      <c r="E283" s="17" t="s">
        <v>119</v>
      </c>
      <c r="F283" s="16">
        <v>1.5</v>
      </c>
      <c r="G283" s="17" t="s">
        <v>152</v>
      </c>
      <c r="H283" s="17" t="s">
        <v>148</v>
      </c>
      <c r="I283" s="17" t="s">
        <v>153</v>
      </c>
    </row>
    <row r="284" spans="1:9" ht="27.75" customHeight="1" x14ac:dyDescent="0.3">
      <c r="A284" s="18" t="s">
        <v>387</v>
      </c>
      <c r="B284" s="19" t="s">
        <v>20</v>
      </c>
      <c r="C284" s="19" t="s">
        <v>146</v>
      </c>
      <c r="D284" s="19" t="s">
        <v>80</v>
      </c>
      <c r="E284" s="19" t="s">
        <v>87</v>
      </c>
      <c r="F284" s="18">
        <v>1</v>
      </c>
      <c r="G284" s="19" t="s">
        <v>154</v>
      </c>
      <c r="H284" s="19" t="s">
        <v>148</v>
      </c>
      <c r="I284" s="19" t="s">
        <v>155</v>
      </c>
    </row>
    <row r="285" spans="1:9" ht="27.75" customHeight="1" x14ac:dyDescent="0.3">
      <c r="A285" s="16" t="s">
        <v>387</v>
      </c>
      <c r="B285" s="17" t="s">
        <v>21</v>
      </c>
      <c r="C285" s="17" t="s">
        <v>156</v>
      </c>
      <c r="D285" s="17" t="s">
        <v>68</v>
      </c>
      <c r="E285" s="17" t="s">
        <v>69</v>
      </c>
      <c r="F285" s="16">
        <v>3</v>
      </c>
      <c r="G285" s="17" t="s">
        <v>157</v>
      </c>
      <c r="H285" s="17" t="s">
        <v>158</v>
      </c>
      <c r="I285" s="17" t="s">
        <v>159</v>
      </c>
    </row>
    <row r="286" spans="1:9" ht="27.75" customHeight="1" x14ac:dyDescent="0.3">
      <c r="A286" s="18" t="s">
        <v>387</v>
      </c>
      <c r="B286" s="19" t="s">
        <v>21</v>
      </c>
      <c r="C286" s="19" t="s">
        <v>156</v>
      </c>
      <c r="D286" s="19" t="s">
        <v>73</v>
      </c>
      <c r="E286" s="19" t="s">
        <v>87</v>
      </c>
      <c r="F286" s="18">
        <v>1</v>
      </c>
      <c r="G286" s="19" t="s">
        <v>160</v>
      </c>
      <c r="H286" s="19" t="s">
        <v>158</v>
      </c>
      <c r="I286" s="19" t="s">
        <v>161</v>
      </c>
    </row>
    <row r="287" spans="1:9" ht="27.75" customHeight="1" x14ac:dyDescent="0.3">
      <c r="A287" s="16" t="s">
        <v>387</v>
      </c>
      <c r="B287" s="17" t="s">
        <v>21</v>
      </c>
      <c r="C287" s="17" t="s">
        <v>156</v>
      </c>
      <c r="D287" s="17" t="s">
        <v>77</v>
      </c>
      <c r="E287" s="17" t="s">
        <v>90</v>
      </c>
      <c r="F287" s="16">
        <v>2</v>
      </c>
      <c r="G287" s="17" t="s">
        <v>162</v>
      </c>
      <c r="H287" s="17" t="s">
        <v>158</v>
      </c>
      <c r="I287" s="17" t="s">
        <v>163</v>
      </c>
    </row>
    <row r="288" spans="1:9" ht="27.75" customHeight="1" x14ac:dyDescent="0.3">
      <c r="A288" s="18" t="s">
        <v>387</v>
      </c>
      <c r="B288" s="19" t="s">
        <v>21</v>
      </c>
      <c r="C288" s="19" t="s">
        <v>156</v>
      </c>
      <c r="D288" s="19" t="s">
        <v>80</v>
      </c>
      <c r="E288" s="19" t="s">
        <v>90</v>
      </c>
      <c r="F288" s="18">
        <v>2</v>
      </c>
      <c r="G288" s="19" t="s">
        <v>164</v>
      </c>
      <c r="H288" s="19" t="s">
        <v>158</v>
      </c>
      <c r="I288" s="19" t="s">
        <v>165</v>
      </c>
    </row>
    <row r="289" spans="1:9" ht="27.75" customHeight="1" x14ac:dyDescent="0.3">
      <c r="A289" s="16" t="s">
        <v>387</v>
      </c>
      <c r="B289" s="17" t="s">
        <v>23</v>
      </c>
      <c r="C289" s="17" t="s">
        <v>166</v>
      </c>
      <c r="D289" s="17" t="s">
        <v>68</v>
      </c>
      <c r="E289" s="17" t="s">
        <v>90</v>
      </c>
      <c r="F289" s="16">
        <v>2</v>
      </c>
      <c r="G289" s="17" t="s">
        <v>167</v>
      </c>
      <c r="H289" s="17" t="s">
        <v>168</v>
      </c>
      <c r="I289" s="17" t="s">
        <v>169</v>
      </c>
    </row>
    <row r="290" spans="1:9" ht="27.75" customHeight="1" x14ac:dyDescent="0.3">
      <c r="A290" s="18" t="s">
        <v>387</v>
      </c>
      <c r="B290" s="19" t="s">
        <v>23</v>
      </c>
      <c r="C290" s="19" t="s">
        <v>166</v>
      </c>
      <c r="D290" s="19" t="s">
        <v>73</v>
      </c>
      <c r="E290" s="19" t="s">
        <v>90</v>
      </c>
      <c r="F290" s="18">
        <v>2</v>
      </c>
      <c r="G290" s="19" t="s">
        <v>170</v>
      </c>
      <c r="H290" s="19" t="s">
        <v>168</v>
      </c>
      <c r="I290" s="19" t="s">
        <v>171</v>
      </c>
    </row>
    <row r="291" spans="1:9" ht="27.75" customHeight="1" x14ac:dyDescent="0.3">
      <c r="A291" s="16" t="s">
        <v>387</v>
      </c>
      <c r="B291" s="17" t="s">
        <v>23</v>
      </c>
      <c r="C291" s="17" t="s">
        <v>166</v>
      </c>
      <c r="D291" s="17" t="s">
        <v>77</v>
      </c>
      <c r="E291" s="17" t="s">
        <v>87</v>
      </c>
      <c r="F291" s="16">
        <v>1</v>
      </c>
      <c r="G291" s="17" t="s">
        <v>172</v>
      </c>
      <c r="H291" s="17" t="s">
        <v>168</v>
      </c>
      <c r="I291" s="17" t="s">
        <v>173</v>
      </c>
    </row>
    <row r="292" spans="1:9" ht="27.75" customHeight="1" x14ac:dyDescent="0.3">
      <c r="A292" s="18" t="s">
        <v>387</v>
      </c>
      <c r="B292" s="19" t="s">
        <v>23</v>
      </c>
      <c r="C292" s="19" t="s">
        <v>166</v>
      </c>
      <c r="D292" s="19" t="s">
        <v>80</v>
      </c>
      <c r="E292" s="19" t="s">
        <v>90</v>
      </c>
      <c r="F292" s="18">
        <v>2</v>
      </c>
      <c r="G292" s="19" t="s">
        <v>174</v>
      </c>
      <c r="H292" s="19" t="s">
        <v>168</v>
      </c>
      <c r="I292" s="19" t="s">
        <v>175</v>
      </c>
    </row>
    <row r="293" spans="1:9" ht="27.75" customHeight="1" x14ac:dyDescent="0.3">
      <c r="A293" s="16" t="s">
        <v>387</v>
      </c>
      <c r="B293" s="17" t="s">
        <v>24</v>
      </c>
      <c r="C293" s="17" t="s">
        <v>176</v>
      </c>
      <c r="D293" s="17" t="s">
        <v>68</v>
      </c>
      <c r="E293" s="17" t="s">
        <v>90</v>
      </c>
      <c r="F293" s="16">
        <v>2</v>
      </c>
      <c r="G293" s="17" t="s">
        <v>177</v>
      </c>
      <c r="H293" s="17" t="s">
        <v>178</v>
      </c>
      <c r="I293" s="17" t="s">
        <v>179</v>
      </c>
    </row>
    <row r="294" spans="1:9" ht="27.75" customHeight="1" x14ac:dyDescent="0.3">
      <c r="A294" s="18" t="s">
        <v>387</v>
      </c>
      <c r="B294" s="19" t="s">
        <v>24</v>
      </c>
      <c r="C294" s="19" t="s">
        <v>176</v>
      </c>
      <c r="D294" s="19" t="s">
        <v>73</v>
      </c>
      <c r="E294" s="19" t="s">
        <v>90</v>
      </c>
      <c r="F294" s="18">
        <v>2</v>
      </c>
      <c r="G294" s="19" t="s">
        <v>180</v>
      </c>
      <c r="H294" s="19" t="s">
        <v>178</v>
      </c>
      <c r="I294" s="19" t="s">
        <v>181</v>
      </c>
    </row>
    <row r="295" spans="1:9" ht="27.75" customHeight="1" x14ac:dyDescent="0.3">
      <c r="A295" s="16" t="s">
        <v>387</v>
      </c>
      <c r="B295" s="17" t="s">
        <v>24</v>
      </c>
      <c r="C295" s="17" t="s">
        <v>176</v>
      </c>
      <c r="D295" s="17" t="s">
        <v>77</v>
      </c>
      <c r="E295" s="17" t="s">
        <v>90</v>
      </c>
      <c r="F295" s="16">
        <v>2</v>
      </c>
      <c r="G295" s="17" t="s">
        <v>182</v>
      </c>
      <c r="H295" s="17" t="s">
        <v>178</v>
      </c>
      <c r="I295" s="17" t="s">
        <v>183</v>
      </c>
    </row>
    <row r="296" spans="1:9" ht="27.75" customHeight="1" x14ac:dyDescent="0.3">
      <c r="A296" s="18" t="s">
        <v>387</v>
      </c>
      <c r="B296" s="19" t="s">
        <v>24</v>
      </c>
      <c r="C296" s="19" t="s">
        <v>176</v>
      </c>
      <c r="D296" s="19" t="s">
        <v>80</v>
      </c>
      <c r="E296" s="19" t="s">
        <v>69</v>
      </c>
      <c r="F296" s="18">
        <v>3</v>
      </c>
      <c r="G296" s="19" t="s">
        <v>184</v>
      </c>
      <c r="H296" s="19" t="s">
        <v>178</v>
      </c>
      <c r="I296" s="19" t="s">
        <v>185</v>
      </c>
    </row>
    <row r="297" spans="1:9" ht="27.75" customHeight="1" x14ac:dyDescent="0.3">
      <c r="A297" s="16" t="s">
        <v>387</v>
      </c>
      <c r="B297" s="17" t="s">
        <v>25</v>
      </c>
      <c r="C297" s="17" t="s">
        <v>186</v>
      </c>
      <c r="D297" s="17" t="s">
        <v>68</v>
      </c>
      <c r="E297" s="17" t="s">
        <v>69</v>
      </c>
      <c r="F297" s="16">
        <v>3</v>
      </c>
      <c r="G297" s="17" t="s">
        <v>187</v>
      </c>
      <c r="H297" s="17" t="s">
        <v>188</v>
      </c>
      <c r="I297" s="17" t="s">
        <v>189</v>
      </c>
    </row>
    <row r="298" spans="1:9" ht="27.75" customHeight="1" x14ac:dyDescent="0.3">
      <c r="A298" s="18" t="s">
        <v>387</v>
      </c>
      <c r="B298" s="19" t="s">
        <v>25</v>
      </c>
      <c r="C298" s="19" t="s">
        <v>186</v>
      </c>
      <c r="D298" s="19" t="s">
        <v>73</v>
      </c>
      <c r="E298" s="19" t="s">
        <v>74</v>
      </c>
      <c r="F298" s="18">
        <v>2.5</v>
      </c>
      <c r="G298" s="19" t="s">
        <v>190</v>
      </c>
      <c r="H298" s="19" t="s">
        <v>188</v>
      </c>
      <c r="I298" s="19" t="s">
        <v>191</v>
      </c>
    </row>
    <row r="299" spans="1:9" ht="27.75" customHeight="1" x14ac:dyDescent="0.3">
      <c r="A299" s="16" t="s">
        <v>387</v>
      </c>
      <c r="B299" s="17" t="s">
        <v>25</v>
      </c>
      <c r="C299" s="17" t="s">
        <v>186</v>
      </c>
      <c r="D299" s="17" t="s">
        <v>77</v>
      </c>
      <c r="E299" s="17" t="s">
        <v>69</v>
      </c>
      <c r="F299" s="16">
        <v>3</v>
      </c>
      <c r="G299" s="17" t="s">
        <v>192</v>
      </c>
      <c r="H299" s="17" t="s">
        <v>188</v>
      </c>
      <c r="I299" s="17" t="s">
        <v>193</v>
      </c>
    </row>
    <row r="300" spans="1:9" ht="27.75" customHeight="1" x14ac:dyDescent="0.3">
      <c r="A300" s="18" t="s">
        <v>387</v>
      </c>
      <c r="B300" s="19" t="s">
        <v>25</v>
      </c>
      <c r="C300" s="19" t="s">
        <v>186</v>
      </c>
      <c r="D300" s="19" t="s">
        <v>80</v>
      </c>
      <c r="E300" s="19" t="s">
        <v>69</v>
      </c>
      <c r="F300" s="18">
        <v>3</v>
      </c>
      <c r="G300" s="19" t="s">
        <v>194</v>
      </c>
      <c r="H300" s="19" t="s">
        <v>188</v>
      </c>
      <c r="I300" s="19" t="s">
        <v>195</v>
      </c>
    </row>
    <row r="301" spans="1:9" ht="27.75" customHeight="1" x14ac:dyDescent="0.3">
      <c r="A301" s="16" t="s">
        <v>387</v>
      </c>
      <c r="B301" s="17" t="s">
        <v>26</v>
      </c>
      <c r="C301" s="17" t="s">
        <v>196</v>
      </c>
      <c r="D301" s="17" t="s">
        <v>68</v>
      </c>
      <c r="E301" s="17" t="s">
        <v>90</v>
      </c>
      <c r="F301" s="16">
        <v>2</v>
      </c>
      <c r="G301" s="17" t="s">
        <v>197</v>
      </c>
      <c r="H301" s="17" t="s">
        <v>198</v>
      </c>
      <c r="I301" s="17" t="s">
        <v>199</v>
      </c>
    </row>
    <row r="302" spans="1:9" ht="27.75" customHeight="1" x14ac:dyDescent="0.3">
      <c r="A302" s="18" t="s">
        <v>387</v>
      </c>
      <c r="B302" s="19" t="s">
        <v>26</v>
      </c>
      <c r="C302" s="19" t="s">
        <v>196</v>
      </c>
      <c r="D302" s="19" t="s">
        <v>73</v>
      </c>
      <c r="E302" s="19" t="s">
        <v>119</v>
      </c>
      <c r="F302" s="18">
        <v>1.5</v>
      </c>
      <c r="G302" s="19" t="s">
        <v>200</v>
      </c>
      <c r="H302" s="19" t="s">
        <v>198</v>
      </c>
      <c r="I302" s="19" t="s">
        <v>201</v>
      </c>
    </row>
    <row r="303" spans="1:9" ht="27.75" customHeight="1" x14ac:dyDescent="0.3">
      <c r="A303" s="16" t="s">
        <v>387</v>
      </c>
      <c r="B303" s="17" t="s">
        <v>26</v>
      </c>
      <c r="C303" s="17" t="s">
        <v>196</v>
      </c>
      <c r="D303" s="17" t="s">
        <v>77</v>
      </c>
      <c r="E303" s="17" t="s">
        <v>87</v>
      </c>
      <c r="F303" s="16">
        <v>1</v>
      </c>
      <c r="G303" s="17" t="s">
        <v>202</v>
      </c>
      <c r="H303" s="17" t="s">
        <v>198</v>
      </c>
      <c r="I303" s="17" t="s">
        <v>203</v>
      </c>
    </row>
    <row r="304" spans="1:9" ht="27.75" customHeight="1" x14ac:dyDescent="0.3">
      <c r="A304" s="18" t="s">
        <v>387</v>
      </c>
      <c r="B304" s="19" t="s">
        <v>26</v>
      </c>
      <c r="C304" s="19" t="s">
        <v>196</v>
      </c>
      <c r="D304" s="19" t="s">
        <v>80</v>
      </c>
      <c r="E304" s="19" t="s">
        <v>90</v>
      </c>
      <c r="F304" s="18">
        <v>2</v>
      </c>
      <c r="G304" s="19" t="s">
        <v>204</v>
      </c>
      <c r="H304" s="19" t="s">
        <v>198</v>
      </c>
      <c r="I304" s="19" t="s">
        <v>205</v>
      </c>
    </row>
    <row r="305" spans="1:9" ht="27.75" customHeight="1" x14ac:dyDescent="0.3">
      <c r="A305" s="16" t="s">
        <v>387</v>
      </c>
      <c r="B305" s="17" t="s">
        <v>27</v>
      </c>
      <c r="C305" s="17" t="s">
        <v>206</v>
      </c>
      <c r="D305" s="17" t="s">
        <v>68</v>
      </c>
      <c r="E305" s="17" t="s">
        <v>90</v>
      </c>
      <c r="F305" s="16">
        <v>2</v>
      </c>
      <c r="G305" s="17" t="s">
        <v>207</v>
      </c>
      <c r="H305" s="17" t="s">
        <v>208</v>
      </c>
      <c r="I305" s="17" t="s">
        <v>209</v>
      </c>
    </row>
    <row r="306" spans="1:9" ht="27.75" customHeight="1" x14ac:dyDescent="0.3">
      <c r="A306" s="18" t="s">
        <v>387</v>
      </c>
      <c r="B306" s="19" t="s">
        <v>27</v>
      </c>
      <c r="C306" s="19" t="s">
        <v>206</v>
      </c>
      <c r="D306" s="19" t="s">
        <v>73</v>
      </c>
      <c r="E306" s="19" t="s">
        <v>69</v>
      </c>
      <c r="F306" s="18">
        <v>3</v>
      </c>
      <c r="G306" s="19" t="s">
        <v>210</v>
      </c>
      <c r="H306" s="19" t="s">
        <v>208</v>
      </c>
      <c r="I306" s="19" t="s">
        <v>211</v>
      </c>
    </row>
    <row r="307" spans="1:9" ht="27.75" customHeight="1" x14ac:dyDescent="0.3">
      <c r="A307" s="16" t="s">
        <v>387</v>
      </c>
      <c r="B307" s="17" t="s">
        <v>27</v>
      </c>
      <c r="C307" s="17" t="s">
        <v>206</v>
      </c>
      <c r="D307" s="17" t="s">
        <v>77</v>
      </c>
      <c r="E307" s="17" t="s">
        <v>90</v>
      </c>
      <c r="F307" s="16">
        <v>2</v>
      </c>
      <c r="G307" s="17" t="s">
        <v>212</v>
      </c>
      <c r="H307" s="17" t="s">
        <v>208</v>
      </c>
      <c r="I307" s="17" t="s">
        <v>213</v>
      </c>
    </row>
    <row r="308" spans="1:9" ht="27.75" customHeight="1" x14ac:dyDescent="0.3">
      <c r="A308" s="18" t="s">
        <v>387</v>
      </c>
      <c r="B308" s="19" t="s">
        <v>27</v>
      </c>
      <c r="C308" s="19" t="s">
        <v>206</v>
      </c>
      <c r="D308" s="19" t="s">
        <v>80</v>
      </c>
      <c r="E308" s="19" t="s">
        <v>69</v>
      </c>
      <c r="F308" s="18">
        <v>3</v>
      </c>
      <c r="G308" s="19" t="s">
        <v>214</v>
      </c>
      <c r="H308" s="19" t="s">
        <v>208</v>
      </c>
      <c r="I308" s="19" t="s">
        <v>215</v>
      </c>
    </row>
    <row r="309" spans="1:9" ht="27.75" customHeight="1" x14ac:dyDescent="0.3">
      <c r="A309" s="16" t="s">
        <v>387</v>
      </c>
      <c r="B309" s="17" t="s">
        <v>28</v>
      </c>
      <c r="C309" s="17" t="s">
        <v>216</v>
      </c>
      <c r="D309" s="17" t="s">
        <v>68</v>
      </c>
      <c r="E309" s="17" t="s">
        <v>69</v>
      </c>
      <c r="F309" s="16">
        <v>3</v>
      </c>
      <c r="G309" s="17" t="s">
        <v>217</v>
      </c>
      <c r="H309" s="17" t="s">
        <v>218</v>
      </c>
      <c r="I309" s="17" t="s">
        <v>219</v>
      </c>
    </row>
    <row r="310" spans="1:9" ht="27.75" customHeight="1" x14ac:dyDescent="0.3">
      <c r="A310" s="18" t="s">
        <v>387</v>
      </c>
      <c r="B310" s="19" t="s">
        <v>28</v>
      </c>
      <c r="C310" s="19" t="s">
        <v>216</v>
      </c>
      <c r="D310" s="19" t="s">
        <v>73</v>
      </c>
      <c r="E310" s="19" t="s">
        <v>90</v>
      </c>
      <c r="F310" s="18">
        <v>2</v>
      </c>
      <c r="G310" s="19" t="s">
        <v>220</v>
      </c>
      <c r="H310" s="19" t="s">
        <v>218</v>
      </c>
      <c r="I310" s="19" t="s">
        <v>221</v>
      </c>
    </row>
    <row r="311" spans="1:9" ht="27.75" customHeight="1" x14ac:dyDescent="0.3">
      <c r="A311" s="16" t="s">
        <v>387</v>
      </c>
      <c r="B311" s="17" t="s">
        <v>28</v>
      </c>
      <c r="C311" s="17" t="s">
        <v>216</v>
      </c>
      <c r="D311" s="17" t="s">
        <v>77</v>
      </c>
      <c r="E311" s="17" t="s">
        <v>90</v>
      </c>
      <c r="F311" s="16">
        <v>2</v>
      </c>
      <c r="G311" s="17" t="s">
        <v>222</v>
      </c>
      <c r="H311" s="17" t="s">
        <v>218</v>
      </c>
      <c r="I311" s="17" t="s">
        <v>223</v>
      </c>
    </row>
    <row r="312" spans="1:9" ht="27.75" customHeight="1" x14ac:dyDescent="0.3">
      <c r="A312" s="18" t="s">
        <v>387</v>
      </c>
      <c r="B312" s="19" t="s">
        <v>28</v>
      </c>
      <c r="C312" s="19" t="s">
        <v>216</v>
      </c>
      <c r="D312" s="19" t="s">
        <v>80</v>
      </c>
      <c r="E312" s="19" t="s">
        <v>69</v>
      </c>
      <c r="F312" s="18">
        <v>3</v>
      </c>
      <c r="G312" s="19" t="s">
        <v>224</v>
      </c>
      <c r="H312" s="19" t="s">
        <v>218</v>
      </c>
      <c r="I312" s="19" t="s">
        <v>225</v>
      </c>
    </row>
    <row r="313" spans="1:9" ht="27.75" customHeight="1" x14ac:dyDescent="0.3">
      <c r="A313" s="16" t="s">
        <v>387</v>
      </c>
      <c r="B313" s="17" t="s">
        <v>29</v>
      </c>
      <c r="C313" s="17" t="s">
        <v>226</v>
      </c>
      <c r="D313" s="17" t="s">
        <v>68</v>
      </c>
      <c r="E313" s="17" t="s">
        <v>69</v>
      </c>
      <c r="F313" s="16">
        <v>3</v>
      </c>
      <c r="G313" s="17" t="s">
        <v>227</v>
      </c>
      <c r="H313" s="17" t="s">
        <v>228</v>
      </c>
      <c r="I313" s="17" t="s">
        <v>229</v>
      </c>
    </row>
    <row r="314" spans="1:9" ht="27.75" customHeight="1" x14ac:dyDescent="0.3">
      <c r="A314" s="18" t="s">
        <v>387</v>
      </c>
      <c r="B314" s="19" t="s">
        <v>29</v>
      </c>
      <c r="C314" s="19" t="s">
        <v>226</v>
      </c>
      <c r="D314" s="19" t="s">
        <v>73</v>
      </c>
      <c r="E314" s="19" t="s">
        <v>90</v>
      </c>
      <c r="F314" s="18">
        <v>2</v>
      </c>
      <c r="G314" s="19" t="s">
        <v>230</v>
      </c>
      <c r="H314" s="19" t="s">
        <v>228</v>
      </c>
      <c r="I314" s="19" t="s">
        <v>231</v>
      </c>
    </row>
    <row r="315" spans="1:9" ht="27.75" customHeight="1" x14ac:dyDescent="0.3">
      <c r="A315" s="16" t="s">
        <v>387</v>
      </c>
      <c r="B315" s="17" t="s">
        <v>29</v>
      </c>
      <c r="C315" s="17" t="s">
        <v>226</v>
      </c>
      <c r="D315" s="17" t="s">
        <v>77</v>
      </c>
      <c r="E315" s="17" t="s">
        <v>90</v>
      </c>
      <c r="F315" s="16">
        <v>2</v>
      </c>
      <c r="G315" s="17" t="s">
        <v>232</v>
      </c>
      <c r="H315" s="17" t="s">
        <v>228</v>
      </c>
      <c r="I315" s="17" t="s">
        <v>233</v>
      </c>
    </row>
    <row r="316" spans="1:9" ht="27.75" customHeight="1" x14ac:dyDescent="0.3">
      <c r="A316" s="18" t="s">
        <v>387</v>
      </c>
      <c r="B316" s="19" t="s">
        <v>29</v>
      </c>
      <c r="C316" s="19" t="s">
        <v>226</v>
      </c>
      <c r="D316" s="19" t="s">
        <v>80</v>
      </c>
      <c r="E316" s="19" t="s">
        <v>90</v>
      </c>
      <c r="F316" s="18">
        <v>2</v>
      </c>
      <c r="G316" s="19" t="s">
        <v>234</v>
      </c>
      <c r="H316" s="19" t="s">
        <v>228</v>
      </c>
      <c r="I316" s="19" t="s">
        <v>235</v>
      </c>
    </row>
    <row r="317" spans="1:9" ht="27.75" customHeight="1" x14ac:dyDescent="0.3">
      <c r="A317" s="16" t="s">
        <v>387</v>
      </c>
      <c r="B317" s="17" t="s">
        <v>30</v>
      </c>
      <c r="C317" s="17" t="s">
        <v>236</v>
      </c>
      <c r="D317" s="17" t="s">
        <v>68</v>
      </c>
      <c r="E317" s="17" t="s">
        <v>69</v>
      </c>
      <c r="F317" s="16">
        <v>3</v>
      </c>
      <c r="G317" s="17" t="s">
        <v>237</v>
      </c>
      <c r="H317" s="17" t="s">
        <v>238</v>
      </c>
      <c r="I317" s="17" t="s">
        <v>239</v>
      </c>
    </row>
    <row r="318" spans="1:9" ht="27.75" customHeight="1" x14ac:dyDescent="0.3">
      <c r="A318" s="18" t="s">
        <v>387</v>
      </c>
      <c r="B318" s="19" t="s">
        <v>30</v>
      </c>
      <c r="C318" s="19" t="s">
        <v>236</v>
      </c>
      <c r="D318" s="19" t="s">
        <v>73</v>
      </c>
      <c r="E318" s="19" t="s">
        <v>87</v>
      </c>
      <c r="F318" s="18">
        <v>1</v>
      </c>
      <c r="G318" s="19" t="s">
        <v>240</v>
      </c>
      <c r="H318" s="19" t="s">
        <v>238</v>
      </c>
      <c r="I318" s="19" t="s">
        <v>241</v>
      </c>
    </row>
    <row r="319" spans="1:9" ht="27.75" customHeight="1" x14ac:dyDescent="0.3">
      <c r="A319" s="16" t="s">
        <v>387</v>
      </c>
      <c r="B319" s="17" t="s">
        <v>30</v>
      </c>
      <c r="C319" s="17" t="s">
        <v>236</v>
      </c>
      <c r="D319" s="17" t="s">
        <v>77</v>
      </c>
      <c r="E319" s="17" t="s">
        <v>87</v>
      </c>
      <c r="F319" s="16">
        <v>1</v>
      </c>
      <c r="G319" s="17" t="s">
        <v>242</v>
      </c>
      <c r="H319" s="17" t="s">
        <v>238</v>
      </c>
      <c r="I319" s="17" t="s">
        <v>243</v>
      </c>
    </row>
    <row r="320" spans="1:9" ht="27.75" customHeight="1" x14ac:dyDescent="0.3">
      <c r="A320" s="18" t="s">
        <v>387</v>
      </c>
      <c r="B320" s="19" t="s">
        <v>30</v>
      </c>
      <c r="C320" s="19" t="s">
        <v>236</v>
      </c>
      <c r="D320" s="19" t="s">
        <v>80</v>
      </c>
      <c r="E320" s="19" t="s">
        <v>87</v>
      </c>
      <c r="F320" s="18">
        <v>1</v>
      </c>
      <c r="G320" s="19" t="s">
        <v>244</v>
      </c>
      <c r="H320" s="19" t="s">
        <v>238</v>
      </c>
      <c r="I320" s="19" t="s">
        <v>245</v>
      </c>
    </row>
    <row r="321" spans="1:9" ht="27.75" customHeight="1" x14ac:dyDescent="0.3">
      <c r="A321" s="16" t="s">
        <v>387</v>
      </c>
      <c r="B321" s="17" t="s">
        <v>31</v>
      </c>
      <c r="C321" s="17" t="s">
        <v>246</v>
      </c>
      <c r="D321" s="17" t="s">
        <v>68</v>
      </c>
      <c r="E321" s="17" t="s">
        <v>69</v>
      </c>
      <c r="F321" s="16">
        <v>3</v>
      </c>
      <c r="G321" s="17" t="s">
        <v>247</v>
      </c>
      <c r="H321" s="17" t="s">
        <v>248</v>
      </c>
      <c r="I321" s="17" t="s">
        <v>249</v>
      </c>
    </row>
    <row r="322" spans="1:9" ht="27.75" customHeight="1" x14ac:dyDescent="0.3">
      <c r="A322" s="18" t="s">
        <v>387</v>
      </c>
      <c r="B322" s="19" t="s">
        <v>31</v>
      </c>
      <c r="C322" s="19" t="s">
        <v>246</v>
      </c>
      <c r="D322" s="19" t="s">
        <v>73</v>
      </c>
      <c r="E322" s="19" t="s">
        <v>87</v>
      </c>
      <c r="F322" s="18">
        <v>1</v>
      </c>
      <c r="G322" s="19" t="s">
        <v>250</v>
      </c>
      <c r="H322" s="19" t="s">
        <v>248</v>
      </c>
      <c r="I322" s="19" t="s">
        <v>251</v>
      </c>
    </row>
    <row r="323" spans="1:9" ht="27.75" customHeight="1" x14ac:dyDescent="0.3">
      <c r="A323" s="16" t="s">
        <v>387</v>
      </c>
      <c r="B323" s="17" t="s">
        <v>31</v>
      </c>
      <c r="C323" s="17" t="s">
        <v>246</v>
      </c>
      <c r="D323" s="17" t="s">
        <v>77</v>
      </c>
      <c r="E323" s="17" t="s">
        <v>90</v>
      </c>
      <c r="F323" s="16">
        <v>2</v>
      </c>
      <c r="G323" s="17" t="s">
        <v>252</v>
      </c>
      <c r="H323" s="17" t="s">
        <v>248</v>
      </c>
      <c r="I323" s="17" t="s">
        <v>253</v>
      </c>
    </row>
    <row r="324" spans="1:9" ht="27.75" customHeight="1" x14ac:dyDescent="0.3">
      <c r="A324" s="18" t="s">
        <v>387</v>
      </c>
      <c r="B324" s="19" t="s">
        <v>31</v>
      </c>
      <c r="C324" s="19" t="s">
        <v>246</v>
      </c>
      <c r="D324" s="19" t="s">
        <v>80</v>
      </c>
      <c r="E324" s="19" t="s">
        <v>90</v>
      </c>
      <c r="F324" s="18">
        <v>2</v>
      </c>
      <c r="G324" s="19" t="s">
        <v>254</v>
      </c>
      <c r="H324" s="19" t="s">
        <v>248</v>
      </c>
      <c r="I324" s="19" t="s">
        <v>255</v>
      </c>
    </row>
    <row r="325" spans="1:9" ht="27.75" customHeight="1" x14ac:dyDescent="0.3">
      <c r="A325" s="16" t="s">
        <v>387</v>
      </c>
      <c r="B325" s="17" t="s">
        <v>32</v>
      </c>
      <c r="C325" s="17" t="s">
        <v>256</v>
      </c>
      <c r="D325" s="17" t="s">
        <v>68</v>
      </c>
      <c r="E325" s="17" t="s">
        <v>69</v>
      </c>
      <c r="F325" s="16">
        <v>3</v>
      </c>
      <c r="G325" s="17" t="s">
        <v>257</v>
      </c>
      <c r="H325" s="17" t="s">
        <v>258</v>
      </c>
      <c r="I325" s="17" t="s">
        <v>259</v>
      </c>
    </row>
    <row r="326" spans="1:9" ht="27.75" customHeight="1" x14ac:dyDescent="0.3">
      <c r="A326" s="18" t="s">
        <v>387</v>
      </c>
      <c r="B326" s="19" t="s">
        <v>32</v>
      </c>
      <c r="C326" s="19" t="s">
        <v>256</v>
      </c>
      <c r="D326" s="19" t="s">
        <v>73</v>
      </c>
      <c r="E326" s="19" t="s">
        <v>119</v>
      </c>
      <c r="F326" s="18">
        <v>1.5</v>
      </c>
      <c r="G326" s="19" t="s">
        <v>260</v>
      </c>
      <c r="H326" s="19" t="s">
        <v>258</v>
      </c>
      <c r="I326" s="19" t="s">
        <v>261</v>
      </c>
    </row>
    <row r="327" spans="1:9" ht="27.75" customHeight="1" x14ac:dyDescent="0.3">
      <c r="A327" s="16" t="s">
        <v>387</v>
      </c>
      <c r="B327" s="17" t="s">
        <v>32</v>
      </c>
      <c r="C327" s="17" t="s">
        <v>256</v>
      </c>
      <c r="D327" s="17" t="s">
        <v>77</v>
      </c>
      <c r="E327" s="17" t="s">
        <v>90</v>
      </c>
      <c r="F327" s="16">
        <v>2</v>
      </c>
      <c r="G327" s="17" t="s">
        <v>262</v>
      </c>
      <c r="H327" s="17" t="s">
        <v>258</v>
      </c>
      <c r="I327" s="17" t="s">
        <v>263</v>
      </c>
    </row>
    <row r="328" spans="1:9" ht="27.75" customHeight="1" x14ac:dyDescent="0.3">
      <c r="A328" s="18" t="s">
        <v>387</v>
      </c>
      <c r="B328" s="19" t="s">
        <v>32</v>
      </c>
      <c r="C328" s="19" t="s">
        <v>256</v>
      </c>
      <c r="D328" s="19" t="s">
        <v>80</v>
      </c>
      <c r="E328" s="19" t="s">
        <v>90</v>
      </c>
      <c r="F328" s="18">
        <v>2</v>
      </c>
      <c r="G328" s="19" t="s">
        <v>264</v>
      </c>
      <c r="H328" s="19" t="s">
        <v>258</v>
      </c>
      <c r="I328" s="19" t="s">
        <v>265</v>
      </c>
    </row>
    <row r="329" spans="1:9" ht="27.75" customHeight="1" x14ac:dyDescent="0.3">
      <c r="A329" s="16" t="s">
        <v>387</v>
      </c>
      <c r="B329" s="17" t="s">
        <v>33</v>
      </c>
      <c r="C329" s="17" t="s">
        <v>266</v>
      </c>
      <c r="D329" s="17" t="s">
        <v>68</v>
      </c>
      <c r="E329" s="17" t="s">
        <v>90</v>
      </c>
      <c r="F329" s="16">
        <v>2</v>
      </c>
      <c r="G329" s="17" t="s">
        <v>267</v>
      </c>
      <c r="H329" s="17" t="s">
        <v>268</v>
      </c>
      <c r="I329" s="17" t="s">
        <v>269</v>
      </c>
    </row>
    <row r="330" spans="1:9" ht="27.75" customHeight="1" x14ac:dyDescent="0.3">
      <c r="A330" s="18" t="s">
        <v>387</v>
      </c>
      <c r="B330" s="19" t="s">
        <v>33</v>
      </c>
      <c r="C330" s="19" t="s">
        <v>266</v>
      </c>
      <c r="D330" s="19" t="s">
        <v>73</v>
      </c>
      <c r="E330" s="19" t="s">
        <v>69</v>
      </c>
      <c r="F330" s="18">
        <v>3</v>
      </c>
      <c r="G330" s="19" t="s">
        <v>270</v>
      </c>
      <c r="H330" s="19" t="s">
        <v>268</v>
      </c>
      <c r="I330" s="19" t="s">
        <v>271</v>
      </c>
    </row>
    <row r="331" spans="1:9" ht="27.75" customHeight="1" x14ac:dyDescent="0.3">
      <c r="A331" s="16" t="s">
        <v>387</v>
      </c>
      <c r="B331" s="17" t="s">
        <v>33</v>
      </c>
      <c r="C331" s="17" t="s">
        <v>266</v>
      </c>
      <c r="D331" s="17" t="s">
        <v>77</v>
      </c>
      <c r="E331" s="17" t="s">
        <v>87</v>
      </c>
      <c r="F331" s="16">
        <v>1</v>
      </c>
      <c r="G331" s="17" t="s">
        <v>272</v>
      </c>
      <c r="H331" s="17" t="s">
        <v>268</v>
      </c>
      <c r="I331" s="17" t="s">
        <v>273</v>
      </c>
    </row>
    <row r="332" spans="1:9" ht="27.75" customHeight="1" x14ac:dyDescent="0.3">
      <c r="A332" s="18" t="s">
        <v>387</v>
      </c>
      <c r="B332" s="19" t="s">
        <v>33</v>
      </c>
      <c r="C332" s="19" t="s">
        <v>266</v>
      </c>
      <c r="D332" s="19" t="s">
        <v>80</v>
      </c>
      <c r="E332" s="19" t="s">
        <v>87</v>
      </c>
      <c r="F332" s="18">
        <v>1</v>
      </c>
      <c r="G332" s="19" t="s">
        <v>154</v>
      </c>
      <c r="H332" s="19" t="s">
        <v>268</v>
      </c>
      <c r="I332" s="19" t="s">
        <v>155</v>
      </c>
    </row>
    <row r="333" spans="1:9" ht="27.75" customHeight="1" x14ac:dyDescent="0.3">
      <c r="A333" s="16" t="s">
        <v>387</v>
      </c>
      <c r="B333" s="17" t="s">
        <v>34</v>
      </c>
      <c r="C333" s="17" t="s">
        <v>274</v>
      </c>
      <c r="D333" s="17" t="s">
        <v>68</v>
      </c>
      <c r="E333" s="17" t="s">
        <v>69</v>
      </c>
      <c r="F333" s="16">
        <v>3</v>
      </c>
      <c r="G333" s="17" t="s">
        <v>275</v>
      </c>
      <c r="H333" s="17" t="s">
        <v>276</v>
      </c>
      <c r="I333" s="17" t="s">
        <v>277</v>
      </c>
    </row>
    <row r="334" spans="1:9" ht="27.75" customHeight="1" x14ac:dyDescent="0.3">
      <c r="A334" s="18" t="s">
        <v>387</v>
      </c>
      <c r="B334" s="19" t="s">
        <v>34</v>
      </c>
      <c r="C334" s="19" t="s">
        <v>274</v>
      </c>
      <c r="D334" s="19" t="s">
        <v>73</v>
      </c>
      <c r="E334" s="19" t="s">
        <v>87</v>
      </c>
      <c r="F334" s="18">
        <v>1</v>
      </c>
      <c r="G334" s="19" t="s">
        <v>278</v>
      </c>
      <c r="H334" s="19" t="s">
        <v>276</v>
      </c>
      <c r="I334" s="19" t="s">
        <v>279</v>
      </c>
    </row>
    <row r="335" spans="1:9" ht="27.75" customHeight="1" x14ac:dyDescent="0.3">
      <c r="A335" s="16" t="s">
        <v>387</v>
      </c>
      <c r="B335" s="17" t="s">
        <v>34</v>
      </c>
      <c r="C335" s="17" t="s">
        <v>274</v>
      </c>
      <c r="D335" s="17" t="s">
        <v>77</v>
      </c>
      <c r="E335" s="17" t="s">
        <v>87</v>
      </c>
      <c r="F335" s="16">
        <v>1</v>
      </c>
      <c r="G335" s="17" t="s">
        <v>280</v>
      </c>
      <c r="H335" s="17" t="s">
        <v>276</v>
      </c>
      <c r="I335" s="17" t="s">
        <v>281</v>
      </c>
    </row>
    <row r="336" spans="1:9" ht="27.75" customHeight="1" x14ac:dyDescent="0.3">
      <c r="A336" s="18" t="s">
        <v>387</v>
      </c>
      <c r="B336" s="19" t="s">
        <v>34</v>
      </c>
      <c r="C336" s="19" t="s">
        <v>274</v>
      </c>
      <c r="D336" s="19" t="s">
        <v>80</v>
      </c>
      <c r="E336" s="19" t="s">
        <v>87</v>
      </c>
      <c r="F336" s="18">
        <v>1</v>
      </c>
      <c r="G336" s="19" t="s">
        <v>282</v>
      </c>
      <c r="H336" s="19" t="s">
        <v>276</v>
      </c>
      <c r="I336" s="19" t="s">
        <v>283</v>
      </c>
    </row>
    <row r="337" spans="1:9" ht="27.75" customHeight="1" x14ac:dyDescent="0.3">
      <c r="A337" s="16" t="s">
        <v>387</v>
      </c>
      <c r="B337" s="17" t="s">
        <v>35</v>
      </c>
      <c r="C337" s="17" t="s">
        <v>284</v>
      </c>
      <c r="D337" s="17" t="s">
        <v>68</v>
      </c>
      <c r="E337" s="17" t="s">
        <v>69</v>
      </c>
      <c r="F337" s="16">
        <v>3</v>
      </c>
      <c r="G337" s="17" t="s">
        <v>285</v>
      </c>
      <c r="H337" s="17" t="s">
        <v>286</v>
      </c>
      <c r="I337" s="17" t="s">
        <v>287</v>
      </c>
    </row>
    <row r="338" spans="1:9" ht="27.75" customHeight="1" x14ac:dyDescent="0.3">
      <c r="A338" s="18" t="s">
        <v>387</v>
      </c>
      <c r="B338" s="19" t="s">
        <v>35</v>
      </c>
      <c r="C338" s="19" t="s">
        <v>284</v>
      </c>
      <c r="D338" s="19" t="s">
        <v>73</v>
      </c>
      <c r="E338" s="19" t="s">
        <v>87</v>
      </c>
      <c r="F338" s="18">
        <v>1</v>
      </c>
      <c r="G338" s="19" t="s">
        <v>288</v>
      </c>
      <c r="H338" s="19" t="s">
        <v>286</v>
      </c>
      <c r="I338" s="19" t="s">
        <v>289</v>
      </c>
    </row>
    <row r="339" spans="1:9" ht="27.75" customHeight="1" x14ac:dyDescent="0.3">
      <c r="A339" s="16" t="s">
        <v>387</v>
      </c>
      <c r="B339" s="17" t="s">
        <v>35</v>
      </c>
      <c r="C339" s="17" t="s">
        <v>284</v>
      </c>
      <c r="D339" s="17" t="s">
        <v>77</v>
      </c>
      <c r="E339" s="17" t="s">
        <v>90</v>
      </c>
      <c r="F339" s="16">
        <v>2</v>
      </c>
      <c r="G339" s="17" t="s">
        <v>290</v>
      </c>
      <c r="H339" s="17" t="s">
        <v>286</v>
      </c>
      <c r="I339" s="17" t="s">
        <v>291</v>
      </c>
    </row>
    <row r="340" spans="1:9" ht="27.75" customHeight="1" x14ac:dyDescent="0.3">
      <c r="A340" s="18" t="s">
        <v>387</v>
      </c>
      <c r="B340" s="19" t="s">
        <v>35</v>
      </c>
      <c r="C340" s="19" t="s">
        <v>284</v>
      </c>
      <c r="D340" s="19" t="s">
        <v>80</v>
      </c>
      <c r="E340" s="19" t="s">
        <v>87</v>
      </c>
      <c r="F340" s="18">
        <v>1</v>
      </c>
      <c r="G340" s="19" t="s">
        <v>292</v>
      </c>
      <c r="H340" s="19" t="s">
        <v>286</v>
      </c>
      <c r="I340" s="19" t="s">
        <v>293</v>
      </c>
    </row>
    <row r="341" spans="1:9" ht="27.75" customHeight="1" x14ac:dyDescent="0.3">
      <c r="A341" s="16" t="s">
        <v>387</v>
      </c>
      <c r="B341" s="17" t="s">
        <v>36</v>
      </c>
      <c r="C341" s="17" t="s">
        <v>294</v>
      </c>
      <c r="D341" s="17" t="s">
        <v>68</v>
      </c>
      <c r="E341" s="17" t="s">
        <v>74</v>
      </c>
      <c r="F341" s="16">
        <v>2.5</v>
      </c>
      <c r="G341" s="17" t="s">
        <v>295</v>
      </c>
      <c r="H341" s="17" t="s">
        <v>296</v>
      </c>
      <c r="I341" s="17" t="s">
        <v>297</v>
      </c>
    </row>
    <row r="342" spans="1:9" ht="27.75" customHeight="1" x14ac:dyDescent="0.3">
      <c r="A342" s="18" t="s">
        <v>387</v>
      </c>
      <c r="B342" s="19" t="s">
        <v>36</v>
      </c>
      <c r="C342" s="19" t="s">
        <v>294</v>
      </c>
      <c r="D342" s="19" t="s">
        <v>73</v>
      </c>
      <c r="E342" s="19" t="s">
        <v>90</v>
      </c>
      <c r="F342" s="18">
        <v>2</v>
      </c>
      <c r="G342" s="19" t="s">
        <v>298</v>
      </c>
      <c r="H342" s="19" t="s">
        <v>296</v>
      </c>
      <c r="I342" s="19" t="s">
        <v>299</v>
      </c>
    </row>
    <row r="343" spans="1:9" ht="27.75" customHeight="1" x14ac:dyDescent="0.3">
      <c r="A343" s="16" t="s">
        <v>387</v>
      </c>
      <c r="B343" s="17" t="s">
        <v>36</v>
      </c>
      <c r="C343" s="17" t="s">
        <v>294</v>
      </c>
      <c r="D343" s="17" t="s">
        <v>77</v>
      </c>
      <c r="E343" s="17" t="s">
        <v>90</v>
      </c>
      <c r="F343" s="16">
        <v>2</v>
      </c>
      <c r="G343" s="17" t="s">
        <v>300</v>
      </c>
      <c r="H343" s="17" t="s">
        <v>296</v>
      </c>
      <c r="I343" s="17" t="s">
        <v>301</v>
      </c>
    </row>
    <row r="344" spans="1:9" ht="27.75" customHeight="1" x14ac:dyDescent="0.3">
      <c r="A344" s="18" t="s">
        <v>387</v>
      </c>
      <c r="B344" s="19" t="s">
        <v>36</v>
      </c>
      <c r="C344" s="19" t="s">
        <v>294</v>
      </c>
      <c r="D344" s="19" t="s">
        <v>80</v>
      </c>
      <c r="E344" s="19" t="s">
        <v>69</v>
      </c>
      <c r="F344" s="18">
        <v>3</v>
      </c>
      <c r="G344" s="19" t="s">
        <v>302</v>
      </c>
      <c r="H344" s="19" t="s">
        <v>296</v>
      </c>
      <c r="I344" s="19" t="s">
        <v>303</v>
      </c>
    </row>
    <row r="345" spans="1:9" ht="27.75" customHeight="1" x14ac:dyDescent="0.3">
      <c r="A345" s="16" t="s">
        <v>387</v>
      </c>
      <c r="B345" s="17" t="s">
        <v>37</v>
      </c>
      <c r="C345" s="17" t="s">
        <v>304</v>
      </c>
      <c r="D345" s="17" t="s">
        <v>68</v>
      </c>
      <c r="E345" s="17" t="s">
        <v>90</v>
      </c>
      <c r="F345" s="16">
        <v>2</v>
      </c>
      <c r="G345" s="17" t="s">
        <v>305</v>
      </c>
      <c r="H345" s="17" t="s">
        <v>306</v>
      </c>
      <c r="I345" s="17" t="s">
        <v>307</v>
      </c>
    </row>
    <row r="346" spans="1:9" ht="27.75" customHeight="1" x14ac:dyDescent="0.3">
      <c r="A346" s="18" t="s">
        <v>387</v>
      </c>
      <c r="B346" s="19" t="s">
        <v>37</v>
      </c>
      <c r="C346" s="19" t="s">
        <v>304</v>
      </c>
      <c r="D346" s="19" t="s">
        <v>73</v>
      </c>
      <c r="E346" s="19" t="s">
        <v>90</v>
      </c>
      <c r="F346" s="18">
        <v>2</v>
      </c>
      <c r="G346" s="19" t="s">
        <v>308</v>
      </c>
      <c r="H346" s="19" t="s">
        <v>306</v>
      </c>
      <c r="I346" s="19" t="s">
        <v>309</v>
      </c>
    </row>
    <row r="347" spans="1:9" ht="27.75" customHeight="1" x14ac:dyDescent="0.3">
      <c r="A347" s="16" t="s">
        <v>387</v>
      </c>
      <c r="B347" s="17" t="s">
        <v>37</v>
      </c>
      <c r="C347" s="17" t="s">
        <v>304</v>
      </c>
      <c r="D347" s="17" t="s">
        <v>77</v>
      </c>
      <c r="E347" s="17" t="s">
        <v>119</v>
      </c>
      <c r="F347" s="16">
        <v>1.5</v>
      </c>
      <c r="G347" s="17" t="s">
        <v>310</v>
      </c>
      <c r="H347" s="17" t="s">
        <v>306</v>
      </c>
      <c r="I347" s="17" t="s">
        <v>311</v>
      </c>
    </row>
    <row r="348" spans="1:9" ht="27.75" customHeight="1" x14ac:dyDescent="0.3">
      <c r="A348" s="18" t="s">
        <v>387</v>
      </c>
      <c r="B348" s="19" t="s">
        <v>37</v>
      </c>
      <c r="C348" s="19" t="s">
        <v>304</v>
      </c>
      <c r="D348" s="19" t="s">
        <v>80</v>
      </c>
      <c r="E348" s="19" t="s">
        <v>90</v>
      </c>
      <c r="F348" s="18">
        <v>2</v>
      </c>
      <c r="G348" s="19" t="s">
        <v>312</v>
      </c>
      <c r="H348" s="19" t="s">
        <v>306</v>
      </c>
      <c r="I348" s="19" t="s">
        <v>313</v>
      </c>
    </row>
    <row r="349" spans="1:9" ht="27.75" customHeight="1" x14ac:dyDescent="0.3">
      <c r="A349" s="16" t="s">
        <v>387</v>
      </c>
      <c r="B349" s="17" t="s">
        <v>38</v>
      </c>
      <c r="C349" s="17" t="s">
        <v>314</v>
      </c>
      <c r="D349" s="17" t="s">
        <v>68</v>
      </c>
      <c r="E349" s="17" t="s">
        <v>90</v>
      </c>
      <c r="F349" s="16">
        <v>2</v>
      </c>
      <c r="G349" s="17" t="s">
        <v>315</v>
      </c>
      <c r="H349" s="17" t="s">
        <v>316</v>
      </c>
      <c r="I349" s="17" t="s">
        <v>317</v>
      </c>
    </row>
    <row r="350" spans="1:9" ht="27.75" customHeight="1" x14ac:dyDescent="0.3">
      <c r="A350" s="18" t="s">
        <v>387</v>
      </c>
      <c r="B350" s="19" t="s">
        <v>38</v>
      </c>
      <c r="C350" s="19" t="s">
        <v>314</v>
      </c>
      <c r="D350" s="19" t="s">
        <v>73</v>
      </c>
      <c r="E350" s="19" t="s">
        <v>119</v>
      </c>
      <c r="F350" s="18">
        <v>1.5</v>
      </c>
      <c r="G350" s="19" t="s">
        <v>318</v>
      </c>
      <c r="H350" s="19" t="s">
        <v>316</v>
      </c>
      <c r="I350" s="19" t="s">
        <v>319</v>
      </c>
    </row>
    <row r="351" spans="1:9" ht="27.75" customHeight="1" x14ac:dyDescent="0.3">
      <c r="A351" s="16" t="s">
        <v>387</v>
      </c>
      <c r="B351" s="17" t="s">
        <v>38</v>
      </c>
      <c r="C351" s="17" t="s">
        <v>314</v>
      </c>
      <c r="D351" s="17" t="s">
        <v>77</v>
      </c>
      <c r="E351" s="17" t="s">
        <v>90</v>
      </c>
      <c r="F351" s="16">
        <v>2</v>
      </c>
      <c r="G351" s="17" t="s">
        <v>320</v>
      </c>
      <c r="H351" s="17" t="s">
        <v>316</v>
      </c>
      <c r="I351" s="17" t="s">
        <v>321</v>
      </c>
    </row>
    <row r="352" spans="1:9" ht="27.75" customHeight="1" x14ac:dyDescent="0.3">
      <c r="A352" s="18" t="s">
        <v>387</v>
      </c>
      <c r="B352" s="19" t="s">
        <v>38</v>
      </c>
      <c r="C352" s="19" t="s">
        <v>314</v>
      </c>
      <c r="D352" s="19" t="s">
        <v>80</v>
      </c>
      <c r="E352" s="19" t="s">
        <v>90</v>
      </c>
      <c r="F352" s="18">
        <v>2</v>
      </c>
      <c r="G352" s="19" t="s">
        <v>322</v>
      </c>
      <c r="H352" s="19" t="s">
        <v>316</v>
      </c>
      <c r="I352" s="19" t="s">
        <v>323</v>
      </c>
    </row>
    <row r="353" spans="1:9" ht="27.75" customHeight="1" x14ac:dyDescent="0.3">
      <c r="A353" s="16" t="s">
        <v>387</v>
      </c>
      <c r="B353" s="17" t="s">
        <v>39</v>
      </c>
      <c r="C353" s="17" t="s">
        <v>324</v>
      </c>
      <c r="D353" s="17" t="s">
        <v>68</v>
      </c>
      <c r="E353" s="17" t="s">
        <v>90</v>
      </c>
      <c r="F353" s="16">
        <v>2</v>
      </c>
      <c r="G353" s="17" t="s">
        <v>325</v>
      </c>
      <c r="H353" s="17" t="s">
        <v>326</v>
      </c>
      <c r="I353" s="17" t="s">
        <v>327</v>
      </c>
    </row>
    <row r="354" spans="1:9" ht="27.75" customHeight="1" x14ac:dyDescent="0.3">
      <c r="A354" s="18" t="s">
        <v>387</v>
      </c>
      <c r="B354" s="19" t="s">
        <v>39</v>
      </c>
      <c r="C354" s="19" t="s">
        <v>324</v>
      </c>
      <c r="D354" s="19" t="s">
        <v>73</v>
      </c>
      <c r="E354" s="19" t="s">
        <v>69</v>
      </c>
      <c r="F354" s="18">
        <v>3</v>
      </c>
      <c r="G354" s="19" t="s">
        <v>328</v>
      </c>
      <c r="H354" s="19" t="s">
        <v>326</v>
      </c>
      <c r="I354" s="19" t="s">
        <v>329</v>
      </c>
    </row>
    <row r="355" spans="1:9" ht="27.75" customHeight="1" x14ac:dyDescent="0.3">
      <c r="A355" s="16" t="s">
        <v>387</v>
      </c>
      <c r="B355" s="17" t="s">
        <v>39</v>
      </c>
      <c r="C355" s="17" t="s">
        <v>324</v>
      </c>
      <c r="D355" s="17" t="s">
        <v>77</v>
      </c>
      <c r="E355" s="17" t="s">
        <v>90</v>
      </c>
      <c r="F355" s="16">
        <v>2</v>
      </c>
      <c r="G355" s="17" t="s">
        <v>330</v>
      </c>
      <c r="H355" s="17" t="s">
        <v>326</v>
      </c>
      <c r="I355" s="17" t="s">
        <v>331</v>
      </c>
    </row>
    <row r="356" spans="1:9" ht="27.75" customHeight="1" x14ac:dyDescent="0.3">
      <c r="A356" s="18" t="s">
        <v>387</v>
      </c>
      <c r="B356" s="19" t="s">
        <v>39</v>
      </c>
      <c r="C356" s="19" t="s">
        <v>324</v>
      </c>
      <c r="D356" s="19" t="s">
        <v>80</v>
      </c>
      <c r="E356" s="19" t="s">
        <v>90</v>
      </c>
      <c r="F356" s="18">
        <v>2</v>
      </c>
      <c r="G356" s="19" t="s">
        <v>332</v>
      </c>
      <c r="H356" s="19" t="s">
        <v>326</v>
      </c>
      <c r="I356" s="19" t="s">
        <v>333</v>
      </c>
    </row>
    <row r="357" spans="1:9" ht="27.75" customHeight="1" x14ac:dyDescent="0.3">
      <c r="A357" s="16" t="s">
        <v>387</v>
      </c>
      <c r="B357" s="17" t="s">
        <v>40</v>
      </c>
      <c r="C357" s="17" t="s">
        <v>334</v>
      </c>
      <c r="D357" s="17" t="s">
        <v>68</v>
      </c>
      <c r="E357" s="17" t="s">
        <v>69</v>
      </c>
      <c r="F357" s="16">
        <v>3</v>
      </c>
      <c r="G357" s="17" t="s">
        <v>335</v>
      </c>
      <c r="H357" s="17" t="s">
        <v>336</v>
      </c>
      <c r="I357" s="17" t="s">
        <v>337</v>
      </c>
    </row>
    <row r="358" spans="1:9" ht="27.75" customHeight="1" x14ac:dyDescent="0.3">
      <c r="A358" s="18" t="s">
        <v>387</v>
      </c>
      <c r="B358" s="19" t="s">
        <v>40</v>
      </c>
      <c r="C358" s="19" t="s">
        <v>334</v>
      </c>
      <c r="D358" s="19" t="s">
        <v>73</v>
      </c>
      <c r="E358" s="19" t="s">
        <v>119</v>
      </c>
      <c r="F358" s="18">
        <v>1.5</v>
      </c>
      <c r="G358" s="19" t="s">
        <v>338</v>
      </c>
      <c r="H358" s="19" t="s">
        <v>336</v>
      </c>
      <c r="I358" s="19" t="s">
        <v>339</v>
      </c>
    </row>
    <row r="359" spans="1:9" ht="27.75" customHeight="1" x14ac:dyDescent="0.3">
      <c r="A359" s="16" t="s">
        <v>387</v>
      </c>
      <c r="B359" s="17" t="s">
        <v>40</v>
      </c>
      <c r="C359" s="17" t="s">
        <v>334</v>
      </c>
      <c r="D359" s="17" t="s">
        <v>77</v>
      </c>
      <c r="E359" s="17" t="s">
        <v>90</v>
      </c>
      <c r="F359" s="16">
        <v>2</v>
      </c>
      <c r="G359" s="17" t="s">
        <v>340</v>
      </c>
      <c r="H359" s="17" t="s">
        <v>336</v>
      </c>
      <c r="I359" s="17" t="s">
        <v>341</v>
      </c>
    </row>
    <row r="360" spans="1:9" ht="27.75" customHeight="1" x14ac:dyDescent="0.3">
      <c r="A360" s="18" t="s">
        <v>387</v>
      </c>
      <c r="B360" s="19" t="s">
        <v>40</v>
      </c>
      <c r="C360" s="19" t="s">
        <v>334</v>
      </c>
      <c r="D360" s="19" t="s">
        <v>80</v>
      </c>
      <c r="E360" s="19" t="s">
        <v>90</v>
      </c>
      <c r="F360" s="18">
        <v>2</v>
      </c>
      <c r="G360" s="19" t="s">
        <v>342</v>
      </c>
      <c r="H360" s="19" t="s">
        <v>336</v>
      </c>
      <c r="I360" s="19" t="s">
        <v>343</v>
      </c>
    </row>
    <row r="361" spans="1:9" ht="27.75" customHeight="1" x14ac:dyDescent="0.3">
      <c r="A361" s="16" t="s">
        <v>387</v>
      </c>
      <c r="B361" s="17" t="s">
        <v>41</v>
      </c>
      <c r="C361" s="17" t="s">
        <v>344</v>
      </c>
      <c r="D361" s="17" t="s">
        <v>68</v>
      </c>
      <c r="E361" s="17" t="s">
        <v>69</v>
      </c>
      <c r="F361" s="16">
        <v>3</v>
      </c>
      <c r="G361" s="17" t="s">
        <v>345</v>
      </c>
      <c r="H361" s="17" t="s">
        <v>346</v>
      </c>
      <c r="I361" s="17" t="s">
        <v>347</v>
      </c>
    </row>
    <row r="362" spans="1:9" ht="27.75" customHeight="1" x14ac:dyDescent="0.3">
      <c r="A362" s="18" t="s">
        <v>387</v>
      </c>
      <c r="B362" s="19" t="s">
        <v>41</v>
      </c>
      <c r="C362" s="19" t="s">
        <v>344</v>
      </c>
      <c r="D362" s="19" t="s">
        <v>73</v>
      </c>
      <c r="E362" s="19" t="s">
        <v>69</v>
      </c>
      <c r="F362" s="18">
        <v>3</v>
      </c>
      <c r="G362" s="19" t="s">
        <v>348</v>
      </c>
      <c r="H362" s="19" t="s">
        <v>346</v>
      </c>
      <c r="I362" s="19" t="s">
        <v>349</v>
      </c>
    </row>
    <row r="363" spans="1:9" ht="27.75" customHeight="1" x14ac:dyDescent="0.3">
      <c r="A363" s="16" t="s">
        <v>387</v>
      </c>
      <c r="B363" s="17" t="s">
        <v>41</v>
      </c>
      <c r="C363" s="17" t="s">
        <v>344</v>
      </c>
      <c r="D363" s="17" t="s">
        <v>77</v>
      </c>
      <c r="E363" s="17" t="s">
        <v>74</v>
      </c>
      <c r="F363" s="16">
        <v>2.5</v>
      </c>
      <c r="G363" s="17" t="s">
        <v>350</v>
      </c>
      <c r="H363" s="17" t="s">
        <v>346</v>
      </c>
      <c r="I363" s="17" t="s">
        <v>351</v>
      </c>
    </row>
    <row r="364" spans="1:9" ht="27.75" customHeight="1" x14ac:dyDescent="0.3">
      <c r="A364" s="18" t="s">
        <v>387</v>
      </c>
      <c r="B364" s="19" t="s">
        <v>41</v>
      </c>
      <c r="C364" s="19" t="s">
        <v>344</v>
      </c>
      <c r="D364" s="19" t="s">
        <v>80</v>
      </c>
      <c r="E364" s="19" t="s">
        <v>69</v>
      </c>
      <c r="F364" s="18">
        <v>3</v>
      </c>
      <c r="G364" s="19" t="s">
        <v>352</v>
      </c>
      <c r="H364" s="19" t="s">
        <v>346</v>
      </c>
      <c r="I364" s="19" t="s">
        <v>353</v>
      </c>
    </row>
    <row r="365" spans="1:9" ht="27.75" customHeight="1" x14ac:dyDescent="0.3">
      <c r="A365" s="16" t="s">
        <v>387</v>
      </c>
      <c r="B365" s="17" t="s">
        <v>354</v>
      </c>
      <c r="C365" s="17" t="s">
        <v>355</v>
      </c>
      <c r="D365" s="17" t="s">
        <v>68</v>
      </c>
      <c r="E365" s="17" t="s">
        <v>69</v>
      </c>
      <c r="F365" s="16">
        <v>3</v>
      </c>
      <c r="G365" s="17" t="s">
        <v>356</v>
      </c>
      <c r="H365" s="17" t="s">
        <v>357</v>
      </c>
      <c r="I365" s="17" t="s">
        <v>358</v>
      </c>
    </row>
    <row r="366" spans="1:9" ht="27.75" customHeight="1" x14ac:dyDescent="0.3">
      <c r="A366" s="18" t="s">
        <v>387</v>
      </c>
      <c r="B366" s="19" t="s">
        <v>354</v>
      </c>
      <c r="C366" s="19" t="s">
        <v>355</v>
      </c>
      <c r="D366" s="19" t="s">
        <v>73</v>
      </c>
      <c r="E366" s="19" t="s">
        <v>87</v>
      </c>
      <c r="F366" s="18">
        <v>1</v>
      </c>
      <c r="G366" s="19" t="s">
        <v>359</v>
      </c>
      <c r="H366" s="19" t="s">
        <v>357</v>
      </c>
      <c r="I366" s="19" t="s">
        <v>360</v>
      </c>
    </row>
    <row r="367" spans="1:9" ht="27.75" customHeight="1" x14ac:dyDescent="0.3">
      <c r="A367" s="16" t="s">
        <v>387</v>
      </c>
      <c r="B367" s="17" t="s">
        <v>354</v>
      </c>
      <c r="C367" s="17" t="s">
        <v>355</v>
      </c>
      <c r="D367" s="17" t="s">
        <v>77</v>
      </c>
      <c r="E367" s="17" t="s">
        <v>87</v>
      </c>
      <c r="F367" s="16">
        <v>1</v>
      </c>
      <c r="G367" s="17" t="s">
        <v>361</v>
      </c>
      <c r="H367" s="17" t="s">
        <v>357</v>
      </c>
      <c r="I367" s="17" t="s">
        <v>362</v>
      </c>
    </row>
    <row r="368" spans="1:9" ht="27.75" customHeight="1" x14ac:dyDescent="0.3">
      <c r="A368" s="18" t="s">
        <v>387</v>
      </c>
      <c r="B368" s="19" t="s">
        <v>354</v>
      </c>
      <c r="C368" s="19" t="s">
        <v>355</v>
      </c>
      <c r="D368" s="19" t="s">
        <v>80</v>
      </c>
      <c r="E368" s="19" t="s">
        <v>87</v>
      </c>
      <c r="F368" s="18">
        <v>1</v>
      </c>
      <c r="G368" s="19" t="s">
        <v>363</v>
      </c>
      <c r="H368" s="19" t="s">
        <v>357</v>
      </c>
      <c r="I368" s="19" t="s">
        <v>364</v>
      </c>
    </row>
    <row r="369" spans="1:9" ht="27.75" customHeight="1" x14ac:dyDescent="0.3">
      <c r="A369" s="16" t="s">
        <v>387</v>
      </c>
      <c r="B369" s="17" t="s">
        <v>48</v>
      </c>
      <c r="C369" s="17" t="s">
        <v>365</v>
      </c>
      <c r="D369" s="17" t="s">
        <v>68</v>
      </c>
      <c r="E369" s="17" t="s">
        <v>90</v>
      </c>
      <c r="F369" s="16">
        <v>2</v>
      </c>
      <c r="G369" s="17" t="s">
        <v>366</v>
      </c>
      <c r="H369" s="17" t="s">
        <v>367</v>
      </c>
      <c r="I369" s="17" t="s">
        <v>368</v>
      </c>
    </row>
    <row r="370" spans="1:9" ht="27.75" customHeight="1" x14ac:dyDescent="0.3">
      <c r="A370" s="18" t="s">
        <v>387</v>
      </c>
      <c r="B370" s="19" t="s">
        <v>48</v>
      </c>
      <c r="C370" s="19" t="s">
        <v>365</v>
      </c>
      <c r="D370" s="19" t="s">
        <v>73</v>
      </c>
      <c r="E370" s="19" t="s">
        <v>90</v>
      </c>
      <c r="F370" s="18">
        <v>2</v>
      </c>
      <c r="G370" s="19" t="s">
        <v>369</v>
      </c>
      <c r="H370" s="19" t="s">
        <v>367</v>
      </c>
      <c r="I370" s="19" t="s">
        <v>370</v>
      </c>
    </row>
    <row r="371" spans="1:9" ht="27.75" customHeight="1" x14ac:dyDescent="0.3">
      <c r="A371" s="16" t="s">
        <v>387</v>
      </c>
      <c r="B371" s="17" t="s">
        <v>48</v>
      </c>
      <c r="C371" s="17" t="s">
        <v>365</v>
      </c>
      <c r="D371" s="17" t="s">
        <v>77</v>
      </c>
      <c r="E371" s="17" t="s">
        <v>90</v>
      </c>
      <c r="F371" s="16">
        <v>2</v>
      </c>
      <c r="G371" s="17" t="s">
        <v>371</v>
      </c>
      <c r="H371" s="17" t="s">
        <v>367</v>
      </c>
      <c r="I371" s="17" t="s">
        <v>372</v>
      </c>
    </row>
    <row r="372" spans="1:9" ht="27.75" customHeight="1" x14ac:dyDescent="0.3">
      <c r="A372" s="18" t="s">
        <v>387</v>
      </c>
      <c r="B372" s="19" t="s">
        <v>48</v>
      </c>
      <c r="C372" s="19" t="s">
        <v>365</v>
      </c>
      <c r="D372" s="19" t="s">
        <v>80</v>
      </c>
      <c r="E372" s="19" t="s">
        <v>90</v>
      </c>
      <c r="F372" s="18">
        <v>2</v>
      </c>
      <c r="G372" s="19" t="s">
        <v>373</v>
      </c>
      <c r="H372" s="19" t="s">
        <v>367</v>
      </c>
      <c r="I372" s="19" t="s">
        <v>374</v>
      </c>
    </row>
    <row r="373" spans="1:9" ht="27.75" customHeight="1" x14ac:dyDescent="0.3">
      <c r="A373" s="16" t="s">
        <v>387</v>
      </c>
      <c r="B373" s="17" t="s">
        <v>375</v>
      </c>
      <c r="C373" s="17" t="s">
        <v>376</v>
      </c>
      <c r="D373" s="17" t="s">
        <v>68</v>
      </c>
      <c r="E373" s="17" t="s">
        <v>69</v>
      </c>
      <c r="F373" s="16">
        <v>3</v>
      </c>
      <c r="G373" s="17" t="s">
        <v>377</v>
      </c>
      <c r="H373" s="17" t="s">
        <v>378</v>
      </c>
      <c r="I373" s="17" t="s">
        <v>379</v>
      </c>
    </row>
    <row r="374" spans="1:9" ht="27.75" customHeight="1" x14ac:dyDescent="0.3">
      <c r="A374" s="18" t="s">
        <v>387</v>
      </c>
      <c r="B374" s="19" t="s">
        <v>375</v>
      </c>
      <c r="C374" s="19" t="s">
        <v>376</v>
      </c>
      <c r="D374" s="19" t="s">
        <v>73</v>
      </c>
      <c r="E374" s="19" t="s">
        <v>87</v>
      </c>
      <c r="F374" s="18">
        <v>1</v>
      </c>
      <c r="G374" s="19" t="s">
        <v>380</v>
      </c>
      <c r="H374" s="19" t="s">
        <v>378</v>
      </c>
      <c r="I374" s="19" t="s">
        <v>381</v>
      </c>
    </row>
    <row r="375" spans="1:9" ht="27.75" customHeight="1" x14ac:dyDescent="0.3">
      <c r="A375" s="16" t="s">
        <v>387</v>
      </c>
      <c r="B375" s="17" t="s">
        <v>375</v>
      </c>
      <c r="C375" s="17" t="s">
        <v>376</v>
      </c>
      <c r="D375" s="17" t="s">
        <v>77</v>
      </c>
      <c r="E375" s="17" t="s">
        <v>90</v>
      </c>
      <c r="F375" s="16">
        <v>2</v>
      </c>
      <c r="G375" s="17" t="s">
        <v>382</v>
      </c>
      <c r="H375" s="17" t="s">
        <v>378</v>
      </c>
      <c r="I375" s="17" t="s">
        <v>383</v>
      </c>
    </row>
    <row r="376" spans="1:9" ht="27.75" customHeight="1" x14ac:dyDescent="0.3">
      <c r="A376" s="18" t="s">
        <v>387</v>
      </c>
      <c r="B376" s="19" t="s">
        <v>375</v>
      </c>
      <c r="C376" s="19" t="s">
        <v>376</v>
      </c>
      <c r="D376" s="19" t="s">
        <v>80</v>
      </c>
      <c r="E376" s="19" t="s">
        <v>87</v>
      </c>
      <c r="F376" s="18">
        <v>1</v>
      </c>
      <c r="G376" s="19" t="s">
        <v>384</v>
      </c>
      <c r="H376" s="19" t="s">
        <v>378</v>
      </c>
      <c r="I376" s="19" t="s">
        <v>385</v>
      </c>
    </row>
    <row r="377" spans="1:9" ht="27.75" customHeight="1" x14ac:dyDescent="0.3">
      <c r="A377" s="16" t="s">
        <v>388</v>
      </c>
      <c r="B377" s="17" t="s">
        <v>12</v>
      </c>
      <c r="C377" s="17" t="s">
        <v>57</v>
      </c>
      <c r="D377" s="17" t="s">
        <v>68</v>
      </c>
      <c r="E377" s="17" t="s">
        <v>69</v>
      </c>
      <c r="F377" s="16">
        <v>3</v>
      </c>
      <c r="G377" s="17" t="s">
        <v>70</v>
      </c>
      <c r="H377" s="17" t="s">
        <v>71</v>
      </c>
      <c r="I377" s="17" t="s">
        <v>72</v>
      </c>
    </row>
    <row r="378" spans="1:9" ht="27.75" customHeight="1" x14ac:dyDescent="0.3">
      <c r="A378" s="18" t="s">
        <v>388</v>
      </c>
      <c r="B378" s="19" t="s">
        <v>12</v>
      </c>
      <c r="C378" s="19" t="s">
        <v>57</v>
      </c>
      <c r="D378" s="19" t="s">
        <v>73</v>
      </c>
      <c r="E378" s="19" t="s">
        <v>74</v>
      </c>
      <c r="F378" s="18">
        <v>2.5</v>
      </c>
      <c r="G378" s="19" t="s">
        <v>75</v>
      </c>
      <c r="H378" s="19" t="s">
        <v>71</v>
      </c>
      <c r="I378" s="19" t="s">
        <v>76</v>
      </c>
    </row>
    <row r="379" spans="1:9" ht="27.75" customHeight="1" x14ac:dyDescent="0.3">
      <c r="A379" s="16" t="s">
        <v>388</v>
      </c>
      <c r="B379" s="17" t="s">
        <v>12</v>
      </c>
      <c r="C379" s="17" t="s">
        <v>57</v>
      </c>
      <c r="D379" s="17" t="s">
        <v>77</v>
      </c>
      <c r="E379" s="17" t="s">
        <v>69</v>
      </c>
      <c r="F379" s="16">
        <v>3</v>
      </c>
      <c r="G379" s="17" t="s">
        <v>78</v>
      </c>
      <c r="H379" s="17" t="s">
        <v>71</v>
      </c>
      <c r="I379" s="17" t="s">
        <v>79</v>
      </c>
    </row>
    <row r="380" spans="1:9" ht="27.75" customHeight="1" x14ac:dyDescent="0.3">
      <c r="A380" s="18" t="s">
        <v>388</v>
      </c>
      <c r="B380" s="19" t="s">
        <v>12</v>
      </c>
      <c r="C380" s="19" t="s">
        <v>57</v>
      </c>
      <c r="D380" s="19" t="s">
        <v>80</v>
      </c>
      <c r="E380" s="19" t="s">
        <v>69</v>
      </c>
      <c r="F380" s="18">
        <v>3</v>
      </c>
      <c r="G380" s="19" t="s">
        <v>81</v>
      </c>
      <c r="H380" s="19" t="s">
        <v>71</v>
      </c>
      <c r="I380" s="19" t="s">
        <v>82</v>
      </c>
    </row>
    <row r="381" spans="1:9" ht="27.75" customHeight="1" x14ac:dyDescent="0.3">
      <c r="A381" s="16" t="s">
        <v>388</v>
      </c>
      <c r="B381" s="17" t="s">
        <v>14</v>
      </c>
      <c r="C381" s="17" t="s">
        <v>83</v>
      </c>
      <c r="D381" s="17" t="s">
        <v>68</v>
      </c>
      <c r="E381" s="17" t="s">
        <v>69</v>
      </c>
      <c r="F381" s="16">
        <v>3</v>
      </c>
      <c r="G381" s="17" t="s">
        <v>84</v>
      </c>
      <c r="H381" s="17" t="s">
        <v>85</v>
      </c>
      <c r="I381" s="17" t="s">
        <v>86</v>
      </c>
    </row>
    <row r="382" spans="1:9" ht="27.75" customHeight="1" x14ac:dyDescent="0.3">
      <c r="A382" s="18" t="s">
        <v>388</v>
      </c>
      <c r="B382" s="19" t="s">
        <v>14</v>
      </c>
      <c r="C382" s="19" t="s">
        <v>83</v>
      </c>
      <c r="D382" s="19" t="s">
        <v>73</v>
      </c>
      <c r="E382" s="19" t="s">
        <v>87</v>
      </c>
      <c r="F382" s="18">
        <v>1</v>
      </c>
      <c r="G382" s="19" t="s">
        <v>88</v>
      </c>
      <c r="H382" s="19" t="s">
        <v>85</v>
      </c>
      <c r="I382" s="19" t="s">
        <v>89</v>
      </c>
    </row>
    <row r="383" spans="1:9" ht="27.75" customHeight="1" x14ac:dyDescent="0.3">
      <c r="A383" s="16" t="s">
        <v>388</v>
      </c>
      <c r="B383" s="17" t="s">
        <v>14</v>
      </c>
      <c r="C383" s="17" t="s">
        <v>83</v>
      </c>
      <c r="D383" s="17" t="s">
        <v>77</v>
      </c>
      <c r="E383" s="17" t="s">
        <v>90</v>
      </c>
      <c r="F383" s="16">
        <v>2</v>
      </c>
      <c r="G383" s="17" t="s">
        <v>91</v>
      </c>
      <c r="H383" s="17" t="s">
        <v>85</v>
      </c>
      <c r="I383" s="17" t="s">
        <v>92</v>
      </c>
    </row>
    <row r="384" spans="1:9" ht="27.75" customHeight="1" x14ac:dyDescent="0.3">
      <c r="A384" s="18" t="s">
        <v>388</v>
      </c>
      <c r="B384" s="19" t="s">
        <v>14</v>
      </c>
      <c r="C384" s="19" t="s">
        <v>83</v>
      </c>
      <c r="D384" s="19" t="s">
        <v>80</v>
      </c>
      <c r="E384" s="19" t="s">
        <v>90</v>
      </c>
      <c r="F384" s="18">
        <v>2</v>
      </c>
      <c r="G384" s="19" t="s">
        <v>93</v>
      </c>
      <c r="H384" s="19" t="s">
        <v>85</v>
      </c>
      <c r="I384" s="19" t="s">
        <v>94</v>
      </c>
    </row>
    <row r="385" spans="1:9" ht="27.75" customHeight="1" x14ac:dyDescent="0.3">
      <c r="A385" s="16" t="s">
        <v>388</v>
      </c>
      <c r="B385" s="17" t="s">
        <v>15</v>
      </c>
      <c r="C385" s="17" t="s">
        <v>95</v>
      </c>
      <c r="D385" s="17" t="s">
        <v>68</v>
      </c>
      <c r="E385" s="17" t="s">
        <v>69</v>
      </c>
      <c r="F385" s="16">
        <v>3</v>
      </c>
      <c r="G385" s="17" t="s">
        <v>96</v>
      </c>
      <c r="H385" s="17" t="s">
        <v>97</v>
      </c>
      <c r="I385" s="17" t="s">
        <v>98</v>
      </c>
    </row>
    <row r="386" spans="1:9" ht="27.75" customHeight="1" x14ac:dyDescent="0.3">
      <c r="A386" s="18" t="s">
        <v>388</v>
      </c>
      <c r="B386" s="19" t="s">
        <v>15</v>
      </c>
      <c r="C386" s="19" t="s">
        <v>95</v>
      </c>
      <c r="D386" s="19" t="s">
        <v>73</v>
      </c>
      <c r="E386" s="19" t="s">
        <v>90</v>
      </c>
      <c r="F386" s="18">
        <v>2</v>
      </c>
      <c r="G386" s="19" t="s">
        <v>99</v>
      </c>
      <c r="H386" s="19" t="s">
        <v>97</v>
      </c>
      <c r="I386" s="19" t="s">
        <v>100</v>
      </c>
    </row>
    <row r="387" spans="1:9" ht="27.75" customHeight="1" x14ac:dyDescent="0.3">
      <c r="A387" s="16" t="s">
        <v>388</v>
      </c>
      <c r="B387" s="17" t="s">
        <v>15</v>
      </c>
      <c r="C387" s="17" t="s">
        <v>95</v>
      </c>
      <c r="D387" s="17" t="s">
        <v>77</v>
      </c>
      <c r="E387" s="17" t="s">
        <v>90</v>
      </c>
      <c r="F387" s="16">
        <v>2</v>
      </c>
      <c r="G387" s="17" t="s">
        <v>101</v>
      </c>
      <c r="H387" s="17" t="s">
        <v>97</v>
      </c>
      <c r="I387" s="17" t="s">
        <v>102</v>
      </c>
    </row>
    <row r="388" spans="1:9" ht="27.75" customHeight="1" x14ac:dyDescent="0.3">
      <c r="A388" s="18" t="s">
        <v>388</v>
      </c>
      <c r="B388" s="19" t="s">
        <v>15</v>
      </c>
      <c r="C388" s="19" t="s">
        <v>95</v>
      </c>
      <c r="D388" s="19" t="s">
        <v>80</v>
      </c>
      <c r="E388" s="19" t="s">
        <v>69</v>
      </c>
      <c r="F388" s="18">
        <v>3</v>
      </c>
      <c r="G388" s="19" t="s">
        <v>103</v>
      </c>
      <c r="H388" s="19" t="s">
        <v>97</v>
      </c>
      <c r="I388" s="19" t="s">
        <v>104</v>
      </c>
    </row>
    <row r="389" spans="1:9" ht="27.75" customHeight="1" x14ac:dyDescent="0.3">
      <c r="A389" s="16" t="s">
        <v>388</v>
      </c>
      <c r="B389" s="17" t="s">
        <v>16</v>
      </c>
      <c r="C389" s="17" t="s">
        <v>105</v>
      </c>
      <c r="D389" s="17" t="s">
        <v>68</v>
      </c>
      <c r="E389" s="17" t="s">
        <v>69</v>
      </c>
      <c r="F389" s="16">
        <v>3</v>
      </c>
      <c r="G389" s="17" t="s">
        <v>106</v>
      </c>
      <c r="H389" s="17" t="s">
        <v>107</v>
      </c>
      <c r="I389" s="17" t="s">
        <v>108</v>
      </c>
    </row>
    <row r="390" spans="1:9" ht="27.75" customHeight="1" x14ac:dyDescent="0.3">
      <c r="A390" s="18" t="s">
        <v>388</v>
      </c>
      <c r="B390" s="19" t="s">
        <v>16</v>
      </c>
      <c r="C390" s="19" t="s">
        <v>105</v>
      </c>
      <c r="D390" s="19" t="s">
        <v>73</v>
      </c>
      <c r="E390" s="19" t="s">
        <v>74</v>
      </c>
      <c r="F390" s="18">
        <v>2.5</v>
      </c>
      <c r="G390" s="19" t="s">
        <v>109</v>
      </c>
      <c r="H390" s="19" t="s">
        <v>107</v>
      </c>
      <c r="I390" s="19" t="s">
        <v>110</v>
      </c>
    </row>
    <row r="391" spans="1:9" ht="27.75" customHeight="1" x14ac:dyDescent="0.3">
      <c r="A391" s="16" t="s">
        <v>388</v>
      </c>
      <c r="B391" s="17" t="s">
        <v>16</v>
      </c>
      <c r="C391" s="17" t="s">
        <v>105</v>
      </c>
      <c r="D391" s="17" t="s">
        <v>77</v>
      </c>
      <c r="E391" s="17" t="s">
        <v>90</v>
      </c>
      <c r="F391" s="16">
        <v>2</v>
      </c>
      <c r="G391" s="17" t="s">
        <v>111</v>
      </c>
      <c r="H391" s="17" t="s">
        <v>107</v>
      </c>
      <c r="I391" s="17" t="s">
        <v>112</v>
      </c>
    </row>
    <row r="392" spans="1:9" ht="27.75" customHeight="1" x14ac:dyDescent="0.3">
      <c r="A392" s="18" t="s">
        <v>388</v>
      </c>
      <c r="B392" s="19" t="s">
        <v>16</v>
      </c>
      <c r="C392" s="19" t="s">
        <v>105</v>
      </c>
      <c r="D392" s="19" t="s">
        <v>80</v>
      </c>
      <c r="E392" s="19" t="s">
        <v>90</v>
      </c>
      <c r="F392" s="18">
        <v>2</v>
      </c>
      <c r="G392" s="19" t="s">
        <v>113</v>
      </c>
      <c r="H392" s="19" t="s">
        <v>107</v>
      </c>
      <c r="I392" s="19" t="s">
        <v>114</v>
      </c>
    </row>
    <row r="393" spans="1:9" ht="27.75" customHeight="1" x14ac:dyDescent="0.3">
      <c r="A393" s="16" t="s">
        <v>388</v>
      </c>
      <c r="B393" s="17" t="s">
        <v>17</v>
      </c>
      <c r="C393" s="17" t="s">
        <v>115</v>
      </c>
      <c r="D393" s="17" t="s">
        <v>68</v>
      </c>
      <c r="E393" s="17" t="s">
        <v>90</v>
      </c>
      <c r="F393" s="16">
        <v>2</v>
      </c>
      <c r="G393" s="17" t="s">
        <v>116</v>
      </c>
      <c r="H393" s="17" t="s">
        <v>117</v>
      </c>
      <c r="I393" s="17" t="s">
        <v>118</v>
      </c>
    </row>
    <row r="394" spans="1:9" ht="27.75" customHeight="1" x14ac:dyDescent="0.3">
      <c r="A394" s="18" t="s">
        <v>388</v>
      </c>
      <c r="B394" s="19" t="s">
        <v>17</v>
      </c>
      <c r="C394" s="19" t="s">
        <v>115</v>
      </c>
      <c r="D394" s="19" t="s">
        <v>73</v>
      </c>
      <c r="E394" s="19" t="s">
        <v>119</v>
      </c>
      <c r="F394" s="18">
        <v>1.5</v>
      </c>
      <c r="G394" s="19" t="s">
        <v>120</v>
      </c>
      <c r="H394" s="19" t="s">
        <v>117</v>
      </c>
      <c r="I394" s="19" t="s">
        <v>121</v>
      </c>
    </row>
    <row r="395" spans="1:9" ht="27.75" customHeight="1" x14ac:dyDescent="0.3">
      <c r="A395" s="16" t="s">
        <v>388</v>
      </c>
      <c r="B395" s="17" t="s">
        <v>17</v>
      </c>
      <c r="C395" s="17" t="s">
        <v>115</v>
      </c>
      <c r="D395" s="17" t="s">
        <v>77</v>
      </c>
      <c r="E395" s="17" t="s">
        <v>87</v>
      </c>
      <c r="F395" s="16">
        <v>1</v>
      </c>
      <c r="G395" s="17" t="s">
        <v>122</v>
      </c>
      <c r="H395" s="17" t="s">
        <v>117</v>
      </c>
      <c r="I395" s="17" t="s">
        <v>123</v>
      </c>
    </row>
    <row r="396" spans="1:9" ht="27.75" customHeight="1" x14ac:dyDescent="0.3">
      <c r="A396" s="18" t="s">
        <v>388</v>
      </c>
      <c r="B396" s="19" t="s">
        <v>17</v>
      </c>
      <c r="C396" s="19" t="s">
        <v>115</v>
      </c>
      <c r="D396" s="19" t="s">
        <v>80</v>
      </c>
      <c r="E396" s="19" t="s">
        <v>90</v>
      </c>
      <c r="F396" s="18">
        <v>2</v>
      </c>
      <c r="G396" s="19" t="s">
        <v>124</v>
      </c>
      <c r="H396" s="19" t="s">
        <v>117</v>
      </c>
      <c r="I396" s="19" t="s">
        <v>125</v>
      </c>
    </row>
    <row r="397" spans="1:9" ht="27.75" customHeight="1" x14ac:dyDescent="0.3">
      <c r="A397" s="16" t="s">
        <v>388</v>
      </c>
      <c r="B397" s="17" t="s">
        <v>18</v>
      </c>
      <c r="C397" s="17" t="s">
        <v>126</v>
      </c>
      <c r="D397" s="17" t="s">
        <v>68</v>
      </c>
      <c r="E397" s="17" t="s">
        <v>90</v>
      </c>
      <c r="F397" s="16">
        <v>2</v>
      </c>
      <c r="G397" s="17" t="s">
        <v>127</v>
      </c>
      <c r="H397" s="17" t="s">
        <v>128</v>
      </c>
      <c r="I397" s="17" t="s">
        <v>129</v>
      </c>
    </row>
    <row r="398" spans="1:9" ht="27.75" customHeight="1" x14ac:dyDescent="0.3">
      <c r="A398" s="18" t="s">
        <v>388</v>
      </c>
      <c r="B398" s="19" t="s">
        <v>18</v>
      </c>
      <c r="C398" s="19" t="s">
        <v>126</v>
      </c>
      <c r="D398" s="19" t="s">
        <v>73</v>
      </c>
      <c r="E398" s="19" t="s">
        <v>90</v>
      </c>
      <c r="F398" s="18">
        <v>2</v>
      </c>
      <c r="G398" s="19" t="s">
        <v>130</v>
      </c>
      <c r="H398" s="19" t="s">
        <v>128</v>
      </c>
      <c r="I398" s="19" t="s">
        <v>131</v>
      </c>
    </row>
    <row r="399" spans="1:9" ht="27.75" customHeight="1" x14ac:dyDescent="0.3">
      <c r="A399" s="16" t="s">
        <v>388</v>
      </c>
      <c r="B399" s="17" t="s">
        <v>18</v>
      </c>
      <c r="C399" s="17" t="s">
        <v>126</v>
      </c>
      <c r="D399" s="17" t="s">
        <v>77</v>
      </c>
      <c r="E399" s="17" t="s">
        <v>90</v>
      </c>
      <c r="F399" s="16">
        <v>2</v>
      </c>
      <c r="G399" s="17" t="s">
        <v>132</v>
      </c>
      <c r="H399" s="17" t="s">
        <v>128</v>
      </c>
      <c r="I399" s="17" t="s">
        <v>133</v>
      </c>
    </row>
    <row r="400" spans="1:9" ht="27.75" customHeight="1" x14ac:dyDescent="0.3">
      <c r="A400" s="18" t="s">
        <v>388</v>
      </c>
      <c r="B400" s="19" t="s">
        <v>18</v>
      </c>
      <c r="C400" s="19" t="s">
        <v>126</v>
      </c>
      <c r="D400" s="19" t="s">
        <v>80</v>
      </c>
      <c r="E400" s="19" t="s">
        <v>90</v>
      </c>
      <c r="F400" s="18">
        <v>2</v>
      </c>
      <c r="G400" s="19" t="s">
        <v>134</v>
      </c>
      <c r="H400" s="19" t="s">
        <v>128</v>
      </c>
      <c r="I400" s="19" t="s">
        <v>135</v>
      </c>
    </row>
    <row r="401" spans="1:9" ht="27.75" customHeight="1" x14ac:dyDescent="0.3">
      <c r="A401" s="16" t="s">
        <v>388</v>
      </c>
      <c r="B401" s="17" t="s">
        <v>19</v>
      </c>
      <c r="C401" s="17" t="s">
        <v>136</v>
      </c>
      <c r="D401" s="17" t="s">
        <v>68</v>
      </c>
      <c r="E401" s="17" t="s">
        <v>90</v>
      </c>
      <c r="F401" s="16">
        <v>2</v>
      </c>
      <c r="G401" s="17" t="s">
        <v>137</v>
      </c>
      <c r="H401" s="17" t="s">
        <v>138</v>
      </c>
      <c r="I401" s="17" t="s">
        <v>139</v>
      </c>
    </row>
    <row r="402" spans="1:9" ht="27.75" customHeight="1" x14ac:dyDescent="0.3">
      <c r="A402" s="18" t="s">
        <v>388</v>
      </c>
      <c r="B402" s="19" t="s">
        <v>19</v>
      </c>
      <c r="C402" s="19" t="s">
        <v>136</v>
      </c>
      <c r="D402" s="19" t="s">
        <v>73</v>
      </c>
      <c r="E402" s="19" t="s">
        <v>69</v>
      </c>
      <c r="F402" s="18">
        <v>3</v>
      </c>
      <c r="G402" s="19" t="s">
        <v>140</v>
      </c>
      <c r="H402" s="19" t="s">
        <v>138</v>
      </c>
      <c r="I402" s="19" t="s">
        <v>141</v>
      </c>
    </row>
    <row r="403" spans="1:9" ht="27.75" customHeight="1" x14ac:dyDescent="0.3">
      <c r="A403" s="16" t="s">
        <v>388</v>
      </c>
      <c r="B403" s="17" t="s">
        <v>19</v>
      </c>
      <c r="C403" s="17" t="s">
        <v>136</v>
      </c>
      <c r="D403" s="17" t="s">
        <v>77</v>
      </c>
      <c r="E403" s="17" t="s">
        <v>90</v>
      </c>
      <c r="F403" s="16">
        <v>2</v>
      </c>
      <c r="G403" s="17" t="s">
        <v>142</v>
      </c>
      <c r="H403" s="17" t="s">
        <v>138</v>
      </c>
      <c r="I403" s="17" t="s">
        <v>143</v>
      </c>
    </row>
    <row r="404" spans="1:9" ht="27.75" customHeight="1" x14ac:dyDescent="0.3">
      <c r="A404" s="18" t="s">
        <v>388</v>
      </c>
      <c r="B404" s="19" t="s">
        <v>19</v>
      </c>
      <c r="C404" s="19" t="s">
        <v>136</v>
      </c>
      <c r="D404" s="19" t="s">
        <v>80</v>
      </c>
      <c r="E404" s="19" t="s">
        <v>90</v>
      </c>
      <c r="F404" s="18">
        <v>2</v>
      </c>
      <c r="G404" s="19" t="s">
        <v>144</v>
      </c>
      <c r="H404" s="19" t="s">
        <v>138</v>
      </c>
      <c r="I404" s="19" t="s">
        <v>145</v>
      </c>
    </row>
    <row r="405" spans="1:9" ht="27.75" customHeight="1" x14ac:dyDescent="0.3">
      <c r="A405" s="16" t="s">
        <v>388</v>
      </c>
      <c r="B405" s="17" t="s">
        <v>20</v>
      </c>
      <c r="C405" s="17" t="s">
        <v>146</v>
      </c>
      <c r="D405" s="17" t="s">
        <v>68</v>
      </c>
      <c r="E405" s="17" t="s">
        <v>87</v>
      </c>
      <c r="F405" s="16">
        <v>1</v>
      </c>
      <c r="G405" s="17" t="s">
        <v>147</v>
      </c>
      <c r="H405" s="17" t="s">
        <v>148</v>
      </c>
      <c r="I405" s="17" t="s">
        <v>149</v>
      </c>
    </row>
    <row r="406" spans="1:9" ht="27.75" customHeight="1" x14ac:dyDescent="0.3">
      <c r="A406" s="18" t="s">
        <v>388</v>
      </c>
      <c r="B406" s="19" t="s">
        <v>20</v>
      </c>
      <c r="C406" s="19" t="s">
        <v>146</v>
      </c>
      <c r="D406" s="19" t="s">
        <v>73</v>
      </c>
      <c r="E406" s="19" t="s">
        <v>90</v>
      </c>
      <c r="F406" s="18">
        <v>2</v>
      </c>
      <c r="G406" s="19" t="s">
        <v>150</v>
      </c>
      <c r="H406" s="19" t="s">
        <v>148</v>
      </c>
      <c r="I406" s="19" t="s">
        <v>151</v>
      </c>
    </row>
    <row r="407" spans="1:9" ht="27.75" customHeight="1" x14ac:dyDescent="0.3">
      <c r="A407" s="16" t="s">
        <v>388</v>
      </c>
      <c r="B407" s="17" t="s">
        <v>20</v>
      </c>
      <c r="C407" s="17" t="s">
        <v>146</v>
      </c>
      <c r="D407" s="17" t="s">
        <v>77</v>
      </c>
      <c r="E407" s="17" t="s">
        <v>119</v>
      </c>
      <c r="F407" s="16">
        <v>1.5</v>
      </c>
      <c r="G407" s="17" t="s">
        <v>152</v>
      </c>
      <c r="H407" s="17" t="s">
        <v>148</v>
      </c>
      <c r="I407" s="17" t="s">
        <v>153</v>
      </c>
    </row>
    <row r="408" spans="1:9" ht="27.75" customHeight="1" x14ac:dyDescent="0.3">
      <c r="A408" s="18" t="s">
        <v>388</v>
      </c>
      <c r="B408" s="19" t="s">
        <v>20</v>
      </c>
      <c r="C408" s="19" t="s">
        <v>146</v>
      </c>
      <c r="D408" s="19" t="s">
        <v>80</v>
      </c>
      <c r="E408" s="19" t="s">
        <v>87</v>
      </c>
      <c r="F408" s="18">
        <v>1</v>
      </c>
      <c r="G408" s="19" t="s">
        <v>154</v>
      </c>
      <c r="H408" s="19" t="s">
        <v>148</v>
      </c>
      <c r="I408" s="19" t="s">
        <v>155</v>
      </c>
    </row>
    <row r="409" spans="1:9" ht="27.75" customHeight="1" x14ac:dyDescent="0.3">
      <c r="A409" s="16" t="s">
        <v>388</v>
      </c>
      <c r="B409" s="17" t="s">
        <v>21</v>
      </c>
      <c r="C409" s="17" t="s">
        <v>156</v>
      </c>
      <c r="D409" s="17" t="s">
        <v>68</v>
      </c>
      <c r="E409" s="17" t="s">
        <v>69</v>
      </c>
      <c r="F409" s="16">
        <v>3</v>
      </c>
      <c r="G409" s="17" t="s">
        <v>157</v>
      </c>
      <c r="H409" s="17" t="s">
        <v>158</v>
      </c>
      <c r="I409" s="17" t="s">
        <v>159</v>
      </c>
    </row>
    <row r="410" spans="1:9" ht="27.75" customHeight="1" x14ac:dyDescent="0.3">
      <c r="A410" s="18" t="s">
        <v>388</v>
      </c>
      <c r="B410" s="19" t="s">
        <v>21</v>
      </c>
      <c r="C410" s="19" t="s">
        <v>156</v>
      </c>
      <c r="D410" s="19" t="s">
        <v>73</v>
      </c>
      <c r="E410" s="19" t="s">
        <v>87</v>
      </c>
      <c r="F410" s="18">
        <v>1</v>
      </c>
      <c r="G410" s="19" t="s">
        <v>160</v>
      </c>
      <c r="H410" s="19" t="s">
        <v>158</v>
      </c>
      <c r="I410" s="19" t="s">
        <v>161</v>
      </c>
    </row>
    <row r="411" spans="1:9" ht="27.75" customHeight="1" x14ac:dyDescent="0.3">
      <c r="A411" s="16" t="s">
        <v>388</v>
      </c>
      <c r="B411" s="17" t="s">
        <v>21</v>
      </c>
      <c r="C411" s="17" t="s">
        <v>156</v>
      </c>
      <c r="D411" s="17" t="s">
        <v>77</v>
      </c>
      <c r="E411" s="17" t="s">
        <v>90</v>
      </c>
      <c r="F411" s="16">
        <v>2</v>
      </c>
      <c r="G411" s="17" t="s">
        <v>162</v>
      </c>
      <c r="H411" s="17" t="s">
        <v>158</v>
      </c>
      <c r="I411" s="17" t="s">
        <v>163</v>
      </c>
    </row>
    <row r="412" spans="1:9" ht="27.75" customHeight="1" x14ac:dyDescent="0.3">
      <c r="A412" s="18" t="s">
        <v>388</v>
      </c>
      <c r="B412" s="19" t="s">
        <v>21</v>
      </c>
      <c r="C412" s="19" t="s">
        <v>156</v>
      </c>
      <c r="D412" s="19" t="s">
        <v>80</v>
      </c>
      <c r="E412" s="19" t="s">
        <v>90</v>
      </c>
      <c r="F412" s="18">
        <v>2</v>
      </c>
      <c r="G412" s="19" t="s">
        <v>164</v>
      </c>
      <c r="H412" s="19" t="s">
        <v>158</v>
      </c>
      <c r="I412" s="19" t="s">
        <v>165</v>
      </c>
    </row>
    <row r="413" spans="1:9" ht="27.75" customHeight="1" x14ac:dyDescent="0.3">
      <c r="A413" s="16" t="s">
        <v>388</v>
      </c>
      <c r="B413" s="17" t="s">
        <v>23</v>
      </c>
      <c r="C413" s="17" t="s">
        <v>166</v>
      </c>
      <c r="D413" s="17" t="s">
        <v>68</v>
      </c>
      <c r="E413" s="17" t="s">
        <v>90</v>
      </c>
      <c r="F413" s="16">
        <v>2</v>
      </c>
      <c r="G413" s="17" t="s">
        <v>167</v>
      </c>
      <c r="H413" s="17" t="s">
        <v>168</v>
      </c>
      <c r="I413" s="17" t="s">
        <v>169</v>
      </c>
    </row>
    <row r="414" spans="1:9" ht="27.75" customHeight="1" x14ac:dyDescent="0.3">
      <c r="A414" s="18" t="s">
        <v>388</v>
      </c>
      <c r="B414" s="19" t="s">
        <v>23</v>
      </c>
      <c r="C414" s="19" t="s">
        <v>166</v>
      </c>
      <c r="D414" s="19" t="s">
        <v>73</v>
      </c>
      <c r="E414" s="19" t="s">
        <v>90</v>
      </c>
      <c r="F414" s="18">
        <v>2</v>
      </c>
      <c r="G414" s="19" t="s">
        <v>170</v>
      </c>
      <c r="H414" s="19" t="s">
        <v>168</v>
      </c>
      <c r="I414" s="19" t="s">
        <v>171</v>
      </c>
    </row>
    <row r="415" spans="1:9" ht="27.75" customHeight="1" x14ac:dyDescent="0.3">
      <c r="A415" s="16" t="s">
        <v>388</v>
      </c>
      <c r="B415" s="17" t="s">
        <v>23</v>
      </c>
      <c r="C415" s="17" t="s">
        <v>166</v>
      </c>
      <c r="D415" s="17" t="s">
        <v>77</v>
      </c>
      <c r="E415" s="17" t="s">
        <v>87</v>
      </c>
      <c r="F415" s="16">
        <v>1</v>
      </c>
      <c r="G415" s="17" t="s">
        <v>172</v>
      </c>
      <c r="H415" s="17" t="s">
        <v>168</v>
      </c>
      <c r="I415" s="17" t="s">
        <v>173</v>
      </c>
    </row>
    <row r="416" spans="1:9" ht="27.75" customHeight="1" x14ac:dyDescent="0.3">
      <c r="A416" s="18" t="s">
        <v>388</v>
      </c>
      <c r="B416" s="19" t="s">
        <v>23</v>
      </c>
      <c r="C416" s="19" t="s">
        <v>166</v>
      </c>
      <c r="D416" s="19" t="s">
        <v>80</v>
      </c>
      <c r="E416" s="19" t="s">
        <v>90</v>
      </c>
      <c r="F416" s="18">
        <v>2</v>
      </c>
      <c r="G416" s="19" t="s">
        <v>174</v>
      </c>
      <c r="H416" s="19" t="s">
        <v>168</v>
      </c>
      <c r="I416" s="19" t="s">
        <v>175</v>
      </c>
    </row>
    <row r="417" spans="1:9" ht="27.75" customHeight="1" x14ac:dyDescent="0.3">
      <c r="A417" s="16" t="s">
        <v>388</v>
      </c>
      <c r="B417" s="17" t="s">
        <v>24</v>
      </c>
      <c r="C417" s="17" t="s">
        <v>176</v>
      </c>
      <c r="D417" s="17" t="s">
        <v>68</v>
      </c>
      <c r="E417" s="17" t="s">
        <v>90</v>
      </c>
      <c r="F417" s="16">
        <v>2</v>
      </c>
      <c r="G417" s="17" t="s">
        <v>177</v>
      </c>
      <c r="H417" s="17" t="s">
        <v>178</v>
      </c>
      <c r="I417" s="17" t="s">
        <v>179</v>
      </c>
    </row>
    <row r="418" spans="1:9" ht="27.75" customHeight="1" x14ac:dyDescent="0.3">
      <c r="A418" s="18" t="s">
        <v>388</v>
      </c>
      <c r="B418" s="19" t="s">
        <v>24</v>
      </c>
      <c r="C418" s="19" t="s">
        <v>176</v>
      </c>
      <c r="D418" s="19" t="s">
        <v>73</v>
      </c>
      <c r="E418" s="19" t="s">
        <v>90</v>
      </c>
      <c r="F418" s="18">
        <v>2</v>
      </c>
      <c r="G418" s="19" t="s">
        <v>180</v>
      </c>
      <c r="H418" s="19" t="s">
        <v>178</v>
      </c>
      <c r="I418" s="19" t="s">
        <v>181</v>
      </c>
    </row>
    <row r="419" spans="1:9" ht="27.75" customHeight="1" x14ac:dyDescent="0.3">
      <c r="A419" s="16" t="s">
        <v>388</v>
      </c>
      <c r="B419" s="17" t="s">
        <v>24</v>
      </c>
      <c r="C419" s="17" t="s">
        <v>176</v>
      </c>
      <c r="D419" s="17" t="s">
        <v>77</v>
      </c>
      <c r="E419" s="17" t="s">
        <v>90</v>
      </c>
      <c r="F419" s="16">
        <v>2</v>
      </c>
      <c r="G419" s="17" t="s">
        <v>182</v>
      </c>
      <c r="H419" s="17" t="s">
        <v>178</v>
      </c>
      <c r="I419" s="17" t="s">
        <v>183</v>
      </c>
    </row>
    <row r="420" spans="1:9" ht="27.75" customHeight="1" x14ac:dyDescent="0.3">
      <c r="A420" s="18" t="s">
        <v>388</v>
      </c>
      <c r="B420" s="19" t="s">
        <v>24</v>
      </c>
      <c r="C420" s="19" t="s">
        <v>176</v>
      </c>
      <c r="D420" s="19" t="s">
        <v>80</v>
      </c>
      <c r="E420" s="19" t="s">
        <v>69</v>
      </c>
      <c r="F420" s="18">
        <v>3</v>
      </c>
      <c r="G420" s="19" t="s">
        <v>184</v>
      </c>
      <c r="H420" s="19" t="s">
        <v>178</v>
      </c>
      <c r="I420" s="19" t="s">
        <v>185</v>
      </c>
    </row>
    <row r="421" spans="1:9" ht="27.75" customHeight="1" x14ac:dyDescent="0.3">
      <c r="A421" s="16" t="s">
        <v>388</v>
      </c>
      <c r="B421" s="17" t="s">
        <v>25</v>
      </c>
      <c r="C421" s="17" t="s">
        <v>186</v>
      </c>
      <c r="D421" s="17" t="s">
        <v>68</v>
      </c>
      <c r="E421" s="17" t="s">
        <v>69</v>
      </c>
      <c r="F421" s="16">
        <v>3</v>
      </c>
      <c r="G421" s="17" t="s">
        <v>187</v>
      </c>
      <c r="H421" s="17" t="s">
        <v>188</v>
      </c>
      <c r="I421" s="17" t="s">
        <v>189</v>
      </c>
    </row>
    <row r="422" spans="1:9" ht="27.75" customHeight="1" x14ac:dyDescent="0.3">
      <c r="A422" s="18" t="s">
        <v>388</v>
      </c>
      <c r="B422" s="19" t="s">
        <v>25</v>
      </c>
      <c r="C422" s="19" t="s">
        <v>186</v>
      </c>
      <c r="D422" s="19" t="s">
        <v>73</v>
      </c>
      <c r="E422" s="19" t="s">
        <v>74</v>
      </c>
      <c r="F422" s="18">
        <v>2.5</v>
      </c>
      <c r="G422" s="19" t="s">
        <v>190</v>
      </c>
      <c r="H422" s="19" t="s">
        <v>188</v>
      </c>
      <c r="I422" s="19" t="s">
        <v>191</v>
      </c>
    </row>
    <row r="423" spans="1:9" ht="27.75" customHeight="1" x14ac:dyDescent="0.3">
      <c r="A423" s="16" t="s">
        <v>388</v>
      </c>
      <c r="B423" s="17" t="s">
        <v>25</v>
      </c>
      <c r="C423" s="17" t="s">
        <v>186</v>
      </c>
      <c r="D423" s="17" t="s">
        <v>77</v>
      </c>
      <c r="E423" s="17" t="s">
        <v>69</v>
      </c>
      <c r="F423" s="16">
        <v>3</v>
      </c>
      <c r="G423" s="17" t="s">
        <v>192</v>
      </c>
      <c r="H423" s="17" t="s">
        <v>188</v>
      </c>
      <c r="I423" s="17" t="s">
        <v>193</v>
      </c>
    </row>
    <row r="424" spans="1:9" ht="27.75" customHeight="1" x14ac:dyDescent="0.3">
      <c r="A424" s="18" t="s">
        <v>388</v>
      </c>
      <c r="B424" s="19" t="s">
        <v>25</v>
      </c>
      <c r="C424" s="19" t="s">
        <v>186</v>
      </c>
      <c r="D424" s="19" t="s">
        <v>80</v>
      </c>
      <c r="E424" s="19" t="s">
        <v>69</v>
      </c>
      <c r="F424" s="18">
        <v>3</v>
      </c>
      <c r="G424" s="19" t="s">
        <v>194</v>
      </c>
      <c r="H424" s="19" t="s">
        <v>188</v>
      </c>
      <c r="I424" s="19" t="s">
        <v>195</v>
      </c>
    </row>
    <row r="425" spans="1:9" ht="27.75" customHeight="1" x14ac:dyDescent="0.3">
      <c r="A425" s="16" t="s">
        <v>388</v>
      </c>
      <c r="B425" s="17" t="s">
        <v>26</v>
      </c>
      <c r="C425" s="17" t="s">
        <v>196</v>
      </c>
      <c r="D425" s="17" t="s">
        <v>68</v>
      </c>
      <c r="E425" s="17" t="s">
        <v>90</v>
      </c>
      <c r="F425" s="16">
        <v>2</v>
      </c>
      <c r="G425" s="17" t="s">
        <v>197</v>
      </c>
      <c r="H425" s="17" t="s">
        <v>198</v>
      </c>
      <c r="I425" s="17" t="s">
        <v>199</v>
      </c>
    </row>
    <row r="426" spans="1:9" ht="27.75" customHeight="1" x14ac:dyDescent="0.3">
      <c r="A426" s="18" t="s">
        <v>388</v>
      </c>
      <c r="B426" s="19" t="s">
        <v>26</v>
      </c>
      <c r="C426" s="19" t="s">
        <v>196</v>
      </c>
      <c r="D426" s="19" t="s">
        <v>73</v>
      </c>
      <c r="E426" s="19" t="s">
        <v>119</v>
      </c>
      <c r="F426" s="18">
        <v>1.5</v>
      </c>
      <c r="G426" s="19" t="s">
        <v>200</v>
      </c>
      <c r="H426" s="19" t="s">
        <v>198</v>
      </c>
      <c r="I426" s="19" t="s">
        <v>201</v>
      </c>
    </row>
    <row r="427" spans="1:9" ht="27.75" customHeight="1" x14ac:dyDescent="0.3">
      <c r="A427" s="16" t="s">
        <v>388</v>
      </c>
      <c r="B427" s="17" t="s">
        <v>26</v>
      </c>
      <c r="C427" s="17" t="s">
        <v>196</v>
      </c>
      <c r="D427" s="17" t="s">
        <v>77</v>
      </c>
      <c r="E427" s="17" t="s">
        <v>87</v>
      </c>
      <c r="F427" s="16">
        <v>1</v>
      </c>
      <c r="G427" s="17" t="s">
        <v>202</v>
      </c>
      <c r="H427" s="17" t="s">
        <v>198</v>
      </c>
      <c r="I427" s="17" t="s">
        <v>203</v>
      </c>
    </row>
    <row r="428" spans="1:9" ht="27.75" customHeight="1" x14ac:dyDescent="0.3">
      <c r="A428" s="18" t="s">
        <v>388</v>
      </c>
      <c r="B428" s="19" t="s">
        <v>26</v>
      </c>
      <c r="C428" s="19" t="s">
        <v>196</v>
      </c>
      <c r="D428" s="19" t="s">
        <v>80</v>
      </c>
      <c r="E428" s="19" t="s">
        <v>90</v>
      </c>
      <c r="F428" s="18">
        <v>2</v>
      </c>
      <c r="G428" s="19" t="s">
        <v>204</v>
      </c>
      <c r="H428" s="19" t="s">
        <v>198</v>
      </c>
      <c r="I428" s="19" t="s">
        <v>205</v>
      </c>
    </row>
    <row r="429" spans="1:9" ht="27.75" customHeight="1" x14ac:dyDescent="0.3">
      <c r="A429" s="16" t="s">
        <v>388</v>
      </c>
      <c r="B429" s="17" t="s">
        <v>27</v>
      </c>
      <c r="C429" s="17" t="s">
        <v>206</v>
      </c>
      <c r="D429" s="17" t="s">
        <v>68</v>
      </c>
      <c r="E429" s="17" t="s">
        <v>90</v>
      </c>
      <c r="F429" s="16">
        <v>2</v>
      </c>
      <c r="G429" s="17" t="s">
        <v>207</v>
      </c>
      <c r="H429" s="17" t="s">
        <v>208</v>
      </c>
      <c r="I429" s="17" t="s">
        <v>209</v>
      </c>
    </row>
    <row r="430" spans="1:9" ht="27.75" customHeight="1" x14ac:dyDescent="0.3">
      <c r="A430" s="18" t="s">
        <v>388</v>
      </c>
      <c r="B430" s="19" t="s">
        <v>27</v>
      </c>
      <c r="C430" s="19" t="s">
        <v>206</v>
      </c>
      <c r="D430" s="19" t="s">
        <v>73</v>
      </c>
      <c r="E430" s="19" t="s">
        <v>69</v>
      </c>
      <c r="F430" s="18">
        <v>3</v>
      </c>
      <c r="G430" s="19" t="s">
        <v>210</v>
      </c>
      <c r="H430" s="19" t="s">
        <v>208</v>
      </c>
      <c r="I430" s="19" t="s">
        <v>211</v>
      </c>
    </row>
    <row r="431" spans="1:9" ht="27.75" customHeight="1" x14ac:dyDescent="0.3">
      <c r="A431" s="16" t="s">
        <v>388</v>
      </c>
      <c r="B431" s="17" t="s">
        <v>27</v>
      </c>
      <c r="C431" s="17" t="s">
        <v>206</v>
      </c>
      <c r="D431" s="17" t="s">
        <v>77</v>
      </c>
      <c r="E431" s="17" t="s">
        <v>90</v>
      </c>
      <c r="F431" s="16">
        <v>2</v>
      </c>
      <c r="G431" s="17" t="s">
        <v>212</v>
      </c>
      <c r="H431" s="17" t="s">
        <v>208</v>
      </c>
      <c r="I431" s="17" t="s">
        <v>213</v>
      </c>
    </row>
    <row r="432" spans="1:9" ht="27.75" customHeight="1" x14ac:dyDescent="0.3">
      <c r="A432" s="18" t="s">
        <v>388</v>
      </c>
      <c r="B432" s="19" t="s">
        <v>27</v>
      </c>
      <c r="C432" s="19" t="s">
        <v>206</v>
      </c>
      <c r="D432" s="19" t="s">
        <v>80</v>
      </c>
      <c r="E432" s="19" t="s">
        <v>69</v>
      </c>
      <c r="F432" s="18">
        <v>3</v>
      </c>
      <c r="G432" s="19" t="s">
        <v>214</v>
      </c>
      <c r="H432" s="19" t="s">
        <v>208</v>
      </c>
      <c r="I432" s="19" t="s">
        <v>215</v>
      </c>
    </row>
    <row r="433" spans="1:9" ht="27.75" customHeight="1" x14ac:dyDescent="0.3">
      <c r="A433" s="16" t="s">
        <v>388</v>
      </c>
      <c r="B433" s="17" t="s">
        <v>28</v>
      </c>
      <c r="C433" s="17" t="s">
        <v>216</v>
      </c>
      <c r="D433" s="17" t="s">
        <v>68</v>
      </c>
      <c r="E433" s="17" t="s">
        <v>69</v>
      </c>
      <c r="F433" s="16">
        <v>3</v>
      </c>
      <c r="G433" s="17" t="s">
        <v>217</v>
      </c>
      <c r="H433" s="17" t="s">
        <v>218</v>
      </c>
      <c r="I433" s="17" t="s">
        <v>219</v>
      </c>
    </row>
    <row r="434" spans="1:9" ht="27.75" customHeight="1" x14ac:dyDescent="0.3">
      <c r="A434" s="18" t="s">
        <v>388</v>
      </c>
      <c r="B434" s="19" t="s">
        <v>28</v>
      </c>
      <c r="C434" s="19" t="s">
        <v>216</v>
      </c>
      <c r="D434" s="19" t="s">
        <v>73</v>
      </c>
      <c r="E434" s="19" t="s">
        <v>90</v>
      </c>
      <c r="F434" s="18">
        <v>2</v>
      </c>
      <c r="G434" s="19" t="s">
        <v>220</v>
      </c>
      <c r="H434" s="19" t="s">
        <v>218</v>
      </c>
      <c r="I434" s="19" t="s">
        <v>221</v>
      </c>
    </row>
    <row r="435" spans="1:9" ht="27.75" customHeight="1" x14ac:dyDescent="0.3">
      <c r="A435" s="16" t="s">
        <v>388</v>
      </c>
      <c r="B435" s="17" t="s">
        <v>28</v>
      </c>
      <c r="C435" s="17" t="s">
        <v>216</v>
      </c>
      <c r="D435" s="17" t="s">
        <v>77</v>
      </c>
      <c r="E435" s="17" t="s">
        <v>90</v>
      </c>
      <c r="F435" s="16">
        <v>2</v>
      </c>
      <c r="G435" s="17" t="s">
        <v>222</v>
      </c>
      <c r="H435" s="17" t="s">
        <v>218</v>
      </c>
      <c r="I435" s="17" t="s">
        <v>223</v>
      </c>
    </row>
    <row r="436" spans="1:9" ht="27.75" customHeight="1" x14ac:dyDescent="0.3">
      <c r="A436" s="18" t="s">
        <v>388</v>
      </c>
      <c r="B436" s="19" t="s">
        <v>28</v>
      </c>
      <c r="C436" s="19" t="s">
        <v>216</v>
      </c>
      <c r="D436" s="19" t="s">
        <v>80</v>
      </c>
      <c r="E436" s="19" t="s">
        <v>69</v>
      </c>
      <c r="F436" s="18">
        <v>3</v>
      </c>
      <c r="G436" s="19" t="s">
        <v>224</v>
      </c>
      <c r="H436" s="19" t="s">
        <v>218</v>
      </c>
      <c r="I436" s="19" t="s">
        <v>225</v>
      </c>
    </row>
    <row r="437" spans="1:9" ht="27.75" customHeight="1" x14ac:dyDescent="0.3">
      <c r="A437" s="16" t="s">
        <v>388</v>
      </c>
      <c r="B437" s="17" t="s">
        <v>29</v>
      </c>
      <c r="C437" s="17" t="s">
        <v>226</v>
      </c>
      <c r="D437" s="17" t="s">
        <v>68</v>
      </c>
      <c r="E437" s="17" t="s">
        <v>69</v>
      </c>
      <c r="F437" s="16">
        <v>3</v>
      </c>
      <c r="G437" s="17" t="s">
        <v>227</v>
      </c>
      <c r="H437" s="17" t="s">
        <v>228</v>
      </c>
      <c r="I437" s="17" t="s">
        <v>229</v>
      </c>
    </row>
    <row r="438" spans="1:9" ht="27.75" customHeight="1" x14ac:dyDescent="0.3">
      <c r="A438" s="18" t="s">
        <v>388</v>
      </c>
      <c r="B438" s="19" t="s">
        <v>29</v>
      </c>
      <c r="C438" s="19" t="s">
        <v>226</v>
      </c>
      <c r="D438" s="19" t="s">
        <v>73</v>
      </c>
      <c r="E438" s="19" t="s">
        <v>90</v>
      </c>
      <c r="F438" s="18">
        <v>2</v>
      </c>
      <c r="G438" s="19" t="s">
        <v>230</v>
      </c>
      <c r="H438" s="19" t="s">
        <v>228</v>
      </c>
      <c r="I438" s="19" t="s">
        <v>231</v>
      </c>
    </row>
    <row r="439" spans="1:9" ht="27.75" customHeight="1" x14ac:dyDescent="0.3">
      <c r="A439" s="16" t="s">
        <v>388</v>
      </c>
      <c r="B439" s="17" t="s">
        <v>29</v>
      </c>
      <c r="C439" s="17" t="s">
        <v>226</v>
      </c>
      <c r="D439" s="17" t="s">
        <v>77</v>
      </c>
      <c r="E439" s="17" t="s">
        <v>90</v>
      </c>
      <c r="F439" s="16">
        <v>2</v>
      </c>
      <c r="G439" s="17" t="s">
        <v>232</v>
      </c>
      <c r="H439" s="17" t="s">
        <v>228</v>
      </c>
      <c r="I439" s="17" t="s">
        <v>233</v>
      </c>
    </row>
    <row r="440" spans="1:9" ht="27.75" customHeight="1" x14ac:dyDescent="0.3">
      <c r="A440" s="18" t="s">
        <v>388</v>
      </c>
      <c r="B440" s="19" t="s">
        <v>29</v>
      </c>
      <c r="C440" s="19" t="s">
        <v>226</v>
      </c>
      <c r="D440" s="19" t="s">
        <v>80</v>
      </c>
      <c r="E440" s="19" t="s">
        <v>90</v>
      </c>
      <c r="F440" s="18">
        <v>2</v>
      </c>
      <c r="G440" s="19" t="s">
        <v>234</v>
      </c>
      <c r="H440" s="19" t="s">
        <v>228</v>
      </c>
      <c r="I440" s="19" t="s">
        <v>235</v>
      </c>
    </row>
    <row r="441" spans="1:9" ht="27.75" customHeight="1" x14ac:dyDescent="0.3">
      <c r="A441" s="16" t="s">
        <v>388</v>
      </c>
      <c r="B441" s="17" t="s">
        <v>30</v>
      </c>
      <c r="C441" s="17" t="s">
        <v>236</v>
      </c>
      <c r="D441" s="17" t="s">
        <v>68</v>
      </c>
      <c r="E441" s="17" t="s">
        <v>69</v>
      </c>
      <c r="F441" s="16">
        <v>3</v>
      </c>
      <c r="G441" s="17" t="s">
        <v>237</v>
      </c>
      <c r="H441" s="17" t="s">
        <v>238</v>
      </c>
      <c r="I441" s="17" t="s">
        <v>239</v>
      </c>
    </row>
    <row r="442" spans="1:9" ht="27.75" customHeight="1" x14ac:dyDescent="0.3">
      <c r="A442" s="18" t="s">
        <v>388</v>
      </c>
      <c r="B442" s="19" t="s">
        <v>30</v>
      </c>
      <c r="C442" s="19" t="s">
        <v>236</v>
      </c>
      <c r="D442" s="19" t="s">
        <v>73</v>
      </c>
      <c r="E442" s="19" t="s">
        <v>87</v>
      </c>
      <c r="F442" s="18">
        <v>1</v>
      </c>
      <c r="G442" s="19" t="s">
        <v>240</v>
      </c>
      <c r="H442" s="19" t="s">
        <v>238</v>
      </c>
      <c r="I442" s="19" t="s">
        <v>241</v>
      </c>
    </row>
    <row r="443" spans="1:9" ht="27.75" customHeight="1" x14ac:dyDescent="0.3">
      <c r="A443" s="16" t="s">
        <v>388</v>
      </c>
      <c r="B443" s="17" t="s">
        <v>30</v>
      </c>
      <c r="C443" s="17" t="s">
        <v>236</v>
      </c>
      <c r="D443" s="17" t="s">
        <v>77</v>
      </c>
      <c r="E443" s="17" t="s">
        <v>87</v>
      </c>
      <c r="F443" s="16">
        <v>1</v>
      </c>
      <c r="G443" s="17" t="s">
        <v>242</v>
      </c>
      <c r="H443" s="17" t="s">
        <v>238</v>
      </c>
      <c r="I443" s="17" t="s">
        <v>243</v>
      </c>
    </row>
    <row r="444" spans="1:9" ht="27.75" customHeight="1" x14ac:dyDescent="0.3">
      <c r="A444" s="18" t="s">
        <v>388</v>
      </c>
      <c r="B444" s="19" t="s">
        <v>30</v>
      </c>
      <c r="C444" s="19" t="s">
        <v>236</v>
      </c>
      <c r="D444" s="19" t="s">
        <v>80</v>
      </c>
      <c r="E444" s="19" t="s">
        <v>87</v>
      </c>
      <c r="F444" s="18">
        <v>1</v>
      </c>
      <c r="G444" s="19" t="s">
        <v>244</v>
      </c>
      <c r="H444" s="19" t="s">
        <v>238</v>
      </c>
      <c r="I444" s="19" t="s">
        <v>245</v>
      </c>
    </row>
    <row r="445" spans="1:9" ht="27.75" customHeight="1" x14ac:dyDescent="0.3">
      <c r="A445" s="16" t="s">
        <v>388</v>
      </c>
      <c r="B445" s="17" t="s">
        <v>31</v>
      </c>
      <c r="C445" s="17" t="s">
        <v>246</v>
      </c>
      <c r="D445" s="17" t="s">
        <v>68</v>
      </c>
      <c r="E445" s="17" t="s">
        <v>69</v>
      </c>
      <c r="F445" s="16">
        <v>3</v>
      </c>
      <c r="G445" s="17" t="s">
        <v>247</v>
      </c>
      <c r="H445" s="17" t="s">
        <v>248</v>
      </c>
      <c r="I445" s="17" t="s">
        <v>249</v>
      </c>
    </row>
    <row r="446" spans="1:9" ht="27.75" customHeight="1" x14ac:dyDescent="0.3">
      <c r="A446" s="18" t="s">
        <v>388</v>
      </c>
      <c r="B446" s="19" t="s">
        <v>31</v>
      </c>
      <c r="C446" s="19" t="s">
        <v>246</v>
      </c>
      <c r="D446" s="19" t="s">
        <v>73</v>
      </c>
      <c r="E446" s="19" t="s">
        <v>87</v>
      </c>
      <c r="F446" s="18">
        <v>1</v>
      </c>
      <c r="G446" s="19" t="s">
        <v>250</v>
      </c>
      <c r="H446" s="19" t="s">
        <v>248</v>
      </c>
      <c r="I446" s="19" t="s">
        <v>251</v>
      </c>
    </row>
    <row r="447" spans="1:9" ht="27.75" customHeight="1" x14ac:dyDescent="0.3">
      <c r="A447" s="16" t="s">
        <v>388</v>
      </c>
      <c r="B447" s="17" t="s">
        <v>31</v>
      </c>
      <c r="C447" s="17" t="s">
        <v>246</v>
      </c>
      <c r="D447" s="17" t="s">
        <v>77</v>
      </c>
      <c r="E447" s="17" t="s">
        <v>90</v>
      </c>
      <c r="F447" s="16">
        <v>2</v>
      </c>
      <c r="G447" s="17" t="s">
        <v>252</v>
      </c>
      <c r="H447" s="17" t="s">
        <v>248</v>
      </c>
      <c r="I447" s="17" t="s">
        <v>253</v>
      </c>
    </row>
    <row r="448" spans="1:9" ht="27.75" customHeight="1" x14ac:dyDescent="0.3">
      <c r="A448" s="18" t="s">
        <v>388</v>
      </c>
      <c r="B448" s="19" t="s">
        <v>31</v>
      </c>
      <c r="C448" s="19" t="s">
        <v>246</v>
      </c>
      <c r="D448" s="19" t="s">
        <v>80</v>
      </c>
      <c r="E448" s="19" t="s">
        <v>90</v>
      </c>
      <c r="F448" s="18">
        <v>2</v>
      </c>
      <c r="G448" s="19" t="s">
        <v>254</v>
      </c>
      <c r="H448" s="19" t="s">
        <v>248</v>
      </c>
      <c r="I448" s="19" t="s">
        <v>255</v>
      </c>
    </row>
    <row r="449" spans="1:9" ht="27.75" customHeight="1" x14ac:dyDescent="0.3">
      <c r="A449" s="16" t="s">
        <v>388</v>
      </c>
      <c r="B449" s="17" t="s">
        <v>32</v>
      </c>
      <c r="C449" s="17" t="s">
        <v>256</v>
      </c>
      <c r="D449" s="17" t="s">
        <v>68</v>
      </c>
      <c r="E449" s="17" t="s">
        <v>69</v>
      </c>
      <c r="F449" s="16">
        <v>3</v>
      </c>
      <c r="G449" s="17" t="s">
        <v>257</v>
      </c>
      <c r="H449" s="17" t="s">
        <v>258</v>
      </c>
      <c r="I449" s="17" t="s">
        <v>259</v>
      </c>
    </row>
    <row r="450" spans="1:9" ht="27.75" customHeight="1" x14ac:dyDescent="0.3">
      <c r="A450" s="18" t="s">
        <v>388</v>
      </c>
      <c r="B450" s="19" t="s">
        <v>32</v>
      </c>
      <c r="C450" s="19" t="s">
        <v>256</v>
      </c>
      <c r="D450" s="19" t="s">
        <v>73</v>
      </c>
      <c r="E450" s="19" t="s">
        <v>119</v>
      </c>
      <c r="F450" s="18">
        <v>1.5</v>
      </c>
      <c r="G450" s="19" t="s">
        <v>260</v>
      </c>
      <c r="H450" s="19" t="s">
        <v>258</v>
      </c>
      <c r="I450" s="19" t="s">
        <v>261</v>
      </c>
    </row>
    <row r="451" spans="1:9" ht="27.75" customHeight="1" x14ac:dyDescent="0.3">
      <c r="A451" s="16" t="s">
        <v>388</v>
      </c>
      <c r="B451" s="17" t="s">
        <v>32</v>
      </c>
      <c r="C451" s="17" t="s">
        <v>256</v>
      </c>
      <c r="D451" s="17" t="s">
        <v>77</v>
      </c>
      <c r="E451" s="17" t="s">
        <v>90</v>
      </c>
      <c r="F451" s="16">
        <v>2</v>
      </c>
      <c r="G451" s="17" t="s">
        <v>262</v>
      </c>
      <c r="H451" s="17" t="s">
        <v>258</v>
      </c>
      <c r="I451" s="17" t="s">
        <v>263</v>
      </c>
    </row>
    <row r="452" spans="1:9" ht="27.75" customHeight="1" x14ac:dyDescent="0.3">
      <c r="A452" s="18" t="s">
        <v>388</v>
      </c>
      <c r="B452" s="19" t="s">
        <v>32</v>
      </c>
      <c r="C452" s="19" t="s">
        <v>256</v>
      </c>
      <c r="D452" s="19" t="s">
        <v>80</v>
      </c>
      <c r="E452" s="19" t="s">
        <v>90</v>
      </c>
      <c r="F452" s="18">
        <v>2</v>
      </c>
      <c r="G452" s="19" t="s">
        <v>264</v>
      </c>
      <c r="H452" s="19" t="s">
        <v>258</v>
      </c>
      <c r="I452" s="19" t="s">
        <v>265</v>
      </c>
    </row>
    <row r="453" spans="1:9" ht="27.75" customHeight="1" x14ac:dyDescent="0.3">
      <c r="A453" s="16" t="s">
        <v>388</v>
      </c>
      <c r="B453" s="17" t="s">
        <v>33</v>
      </c>
      <c r="C453" s="17" t="s">
        <v>266</v>
      </c>
      <c r="D453" s="17" t="s">
        <v>68</v>
      </c>
      <c r="E453" s="17" t="s">
        <v>90</v>
      </c>
      <c r="F453" s="16">
        <v>2</v>
      </c>
      <c r="G453" s="17" t="s">
        <v>267</v>
      </c>
      <c r="H453" s="17" t="s">
        <v>268</v>
      </c>
      <c r="I453" s="17" t="s">
        <v>269</v>
      </c>
    </row>
    <row r="454" spans="1:9" ht="27.75" customHeight="1" x14ac:dyDescent="0.3">
      <c r="A454" s="18" t="s">
        <v>388</v>
      </c>
      <c r="B454" s="19" t="s">
        <v>33</v>
      </c>
      <c r="C454" s="19" t="s">
        <v>266</v>
      </c>
      <c r="D454" s="19" t="s">
        <v>73</v>
      </c>
      <c r="E454" s="19" t="s">
        <v>69</v>
      </c>
      <c r="F454" s="18">
        <v>3</v>
      </c>
      <c r="G454" s="19" t="s">
        <v>270</v>
      </c>
      <c r="H454" s="19" t="s">
        <v>268</v>
      </c>
      <c r="I454" s="19" t="s">
        <v>271</v>
      </c>
    </row>
    <row r="455" spans="1:9" ht="27.75" customHeight="1" x14ac:dyDescent="0.3">
      <c r="A455" s="16" t="s">
        <v>388</v>
      </c>
      <c r="B455" s="17" t="s">
        <v>33</v>
      </c>
      <c r="C455" s="17" t="s">
        <v>266</v>
      </c>
      <c r="D455" s="17" t="s">
        <v>77</v>
      </c>
      <c r="E455" s="17" t="s">
        <v>87</v>
      </c>
      <c r="F455" s="16">
        <v>1</v>
      </c>
      <c r="G455" s="17" t="s">
        <v>272</v>
      </c>
      <c r="H455" s="17" t="s">
        <v>268</v>
      </c>
      <c r="I455" s="17" t="s">
        <v>273</v>
      </c>
    </row>
    <row r="456" spans="1:9" ht="27.75" customHeight="1" x14ac:dyDescent="0.3">
      <c r="A456" s="18" t="s">
        <v>388</v>
      </c>
      <c r="B456" s="19" t="s">
        <v>33</v>
      </c>
      <c r="C456" s="19" t="s">
        <v>266</v>
      </c>
      <c r="D456" s="19" t="s">
        <v>80</v>
      </c>
      <c r="E456" s="19" t="s">
        <v>87</v>
      </c>
      <c r="F456" s="18">
        <v>1</v>
      </c>
      <c r="G456" s="19" t="s">
        <v>154</v>
      </c>
      <c r="H456" s="19" t="s">
        <v>268</v>
      </c>
      <c r="I456" s="19" t="s">
        <v>155</v>
      </c>
    </row>
    <row r="457" spans="1:9" ht="27.75" customHeight="1" x14ac:dyDescent="0.3">
      <c r="A457" s="16" t="s">
        <v>388</v>
      </c>
      <c r="B457" s="17" t="s">
        <v>34</v>
      </c>
      <c r="C457" s="17" t="s">
        <v>274</v>
      </c>
      <c r="D457" s="17" t="s">
        <v>68</v>
      </c>
      <c r="E457" s="17" t="s">
        <v>69</v>
      </c>
      <c r="F457" s="16">
        <v>3</v>
      </c>
      <c r="G457" s="17" t="s">
        <v>275</v>
      </c>
      <c r="H457" s="17" t="s">
        <v>276</v>
      </c>
      <c r="I457" s="17" t="s">
        <v>277</v>
      </c>
    </row>
    <row r="458" spans="1:9" ht="27.75" customHeight="1" x14ac:dyDescent="0.3">
      <c r="A458" s="18" t="s">
        <v>388</v>
      </c>
      <c r="B458" s="19" t="s">
        <v>34</v>
      </c>
      <c r="C458" s="19" t="s">
        <v>274</v>
      </c>
      <c r="D458" s="19" t="s">
        <v>73</v>
      </c>
      <c r="E458" s="19" t="s">
        <v>87</v>
      </c>
      <c r="F458" s="18">
        <v>1</v>
      </c>
      <c r="G458" s="19" t="s">
        <v>278</v>
      </c>
      <c r="H458" s="19" t="s">
        <v>276</v>
      </c>
      <c r="I458" s="19" t="s">
        <v>279</v>
      </c>
    </row>
    <row r="459" spans="1:9" ht="27.75" customHeight="1" x14ac:dyDescent="0.3">
      <c r="A459" s="16" t="s">
        <v>388</v>
      </c>
      <c r="B459" s="17" t="s">
        <v>34</v>
      </c>
      <c r="C459" s="17" t="s">
        <v>274</v>
      </c>
      <c r="D459" s="17" t="s">
        <v>77</v>
      </c>
      <c r="E459" s="17" t="s">
        <v>87</v>
      </c>
      <c r="F459" s="16">
        <v>1</v>
      </c>
      <c r="G459" s="17" t="s">
        <v>280</v>
      </c>
      <c r="H459" s="17" t="s">
        <v>276</v>
      </c>
      <c r="I459" s="17" t="s">
        <v>281</v>
      </c>
    </row>
    <row r="460" spans="1:9" ht="27.75" customHeight="1" x14ac:dyDescent="0.3">
      <c r="A460" s="18" t="s">
        <v>388</v>
      </c>
      <c r="B460" s="19" t="s">
        <v>34</v>
      </c>
      <c r="C460" s="19" t="s">
        <v>274</v>
      </c>
      <c r="D460" s="19" t="s">
        <v>80</v>
      </c>
      <c r="E460" s="19" t="s">
        <v>87</v>
      </c>
      <c r="F460" s="18">
        <v>1</v>
      </c>
      <c r="G460" s="19" t="s">
        <v>282</v>
      </c>
      <c r="H460" s="19" t="s">
        <v>276</v>
      </c>
      <c r="I460" s="19" t="s">
        <v>283</v>
      </c>
    </row>
    <row r="461" spans="1:9" ht="27.75" customHeight="1" x14ac:dyDescent="0.3">
      <c r="A461" s="16" t="s">
        <v>388</v>
      </c>
      <c r="B461" s="17" t="s">
        <v>35</v>
      </c>
      <c r="C461" s="17" t="s">
        <v>284</v>
      </c>
      <c r="D461" s="17" t="s">
        <v>68</v>
      </c>
      <c r="E461" s="17" t="s">
        <v>69</v>
      </c>
      <c r="F461" s="16">
        <v>3</v>
      </c>
      <c r="G461" s="17" t="s">
        <v>285</v>
      </c>
      <c r="H461" s="17" t="s">
        <v>286</v>
      </c>
      <c r="I461" s="17" t="s">
        <v>287</v>
      </c>
    </row>
    <row r="462" spans="1:9" ht="27.75" customHeight="1" x14ac:dyDescent="0.3">
      <c r="A462" s="18" t="s">
        <v>388</v>
      </c>
      <c r="B462" s="19" t="s">
        <v>35</v>
      </c>
      <c r="C462" s="19" t="s">
        <v>284</v>
      </c>
      <c r="D462" s="19" t="s">
        <v>73</v>
      </c>
      <c r="E462" s="19" t="s">
        <v>87</v>
      </c>
      <c r="F462" s="18">
        <v>1</v>
      </c>
      <c r="G462" s="19" t="s">
        <v>288</v>
      </c>
      <c r="H462" s="19" t="s">
        <v>286</v>
      </c>
      <c r="I462" s="19" t="s">
        <v>289</v>
      </c>
    </row>
    <row r="463" spans="1:9" ht="27.75" customHeight="1" x14ac:dyDescent="0.3">
      <c r="A463" s="16" t="s">
        <v>388</v>
      </c>
      <c r="B463" s="17" t="s">
        <v>35</v>
      </c>
      <c r="C463" s="17" t="s">
        <v>284</v>
      </c>
      <c r="D463" s="17" t="s">
        <v>77</v>
      </c>
      <c r="E463" s="17" t="s">
        <v>90</v>
      </c>
      <c r="F463" s="16">
        <v>2</v>
      </c>
      <c r="G463" s="17" t="s">
        <v>290</v>
      </c>
      <c r="H463" s="17" t="s">
        <v>286</v>
      </c>
      <c r="I463" s="17" t="s">
        <v>291</v>
      </c>
    </row>
    <row r="464" spans="1:9" ht="27.75" customHeight="1" x14ac:dyDescent="0.3">
      <c r="A464" s="18" t="s">
        <v>388</v>
      </c>
      <c r="B464" s="19" t="s">
        <v>35</v>
      </c>
      <c r="C464" s="19" t="s">
        <v>284</v>
      </c>
      <c r="D464" s="19" t="s">
        <v>80</v>
      </c>
      <c r="E464" s="19" t="s">
        <v>87</v>
      </c>
      <c r="F464" s="18">
        <v>1</v>
      </c>
      <c r="G464" s="19" t="s">
        <v>292</v>
      </c>
      <c r="H464" s="19" t="s">
        <v>286</v>
      </c>
      <c r="I464" s="19" t="s">
        <v>293</v>
      </c>
    </row>
    <row r="465" spans="1:9" ht="27.75" customHeight="1" x14ac:dyDescent="0.3">
      <c r="A465" s="16" t="s">
        <v>388</v>
      </c>
      <c r="B465" s="17" t="s">
        <v>36</v>
      </c>
      <c r="C465" s="17" t="s">
        <v>294</v>
      </c>
      <c r="D465" s="17" t="s">
        <v>68</v>
      </c>
      <c r="E465" s="17" t="s">
        <v>74</v>
      </c>
      <c r="F465" s="16">
        <v>2.5</v>
      </c>
      <c r="G465" s="17" t="s">
        <v>295</v>
      </c>
      <c r="H465" s="17" t="s">
        <v>296</v>
      </c>
      <c r="I465" s="17" t="s">
        <v>297</v>
      </c>
    </row>
    <row r="466" spans="1:9" ht="27.75" customHeight="1" x14ac:dyDescent="0.3">
      <c r="A466" s="18" t="s">
        <v>388</v>
      </c>
      <c r="B466" s="19" t="s">
        <v>36</v>
      </c>
      <c r="C466" s="19" t="s">
        <v>294</v>
      </c>
      <c r="D466" s="19" t="s">
        <v>73</v>
      </c>
      <c r="E466" s="19" t="s">
        <v>90</v>
      </c>
      <c r="F466" s="18">
        <v>2</v>
      </c>
      <c r="G466" s="19" t="s">
        <v>298</v>
      </c>
      <c r="H466" s="19" t="s">
        <v>296</v>
      </c>
      <c r="I466" s="19" t="s">
        <v>299</v>
      </c>
    </row>
    <row r="467" spans="1:9" ht="27.75" customHeight="1" x14ac:dyDescent="0.3">
      <c r="A467" s="16" t="s">
        <v>388</v>
      </c>
      <c r="B467" s="17" t="s">
        <v>36</v>
      </c>
      <c r="C467" s="17" t="s">
        <v>294</v>
      </c>
      <c r="D467" s="17" t="s">
        <v>77</v>
      </c>
      <c r="E467" s="17" t="s">
        <v>90</v>
      </c>
      <c r="F467" s="16">
        <v>2</v>
      </c>
      <c r="G467" s="17" t="s">
        <v>300</v>
      </c>
      <c r="H467" s="17" t="s">
        <v>296</v>
      </c>
      <c r="I467" s="17" t="s">
        <v>301</v>
      </c>
    </row>
    <row r="468" spans="1:9" ht="27.75" customHeight="1" x14ac:dyDescent="0.3">
      <c r="A468" s="18" t="s">
        <v>388</v>
      </c>
      <c r="B468" s="19" t="s">
        <v>36</v>
      </c>
      <c r="C468" s="19" t="s">
        <v>294</v>
      </c>
      <c r="D468" s="19" t="s">
        <v>80</v>
      </c>
      <c r="E468" s="19" t="s">
        <v>69</v>
      </c>
      <c r="F468" s="18">
        <v>3</v>
      </c>
      <c r="G468" s="19" t="s">
        <v>302</v>
      </c>
      <c r="H468" s="19" t="s">
        <v>296</v>
      </c>
      <c r="I468" s="19" t="s">
        <v>303</v>
      </c>
    </row>
    <row r="469" spans="1:9" ht="27.75" customHeight="1" x14ac:dyDescent="0.3">
      <c r="A469" s="16" t="s">
        <v>388</v>
      </c>
      <c r="B469" s="17" t="s">
        <v>37</v>
      </c>
      <c r="C469" s="17" t="s">
        <v>304</v>
      </c>
      <c r="D469" s="17" t="s">
        <v>68</v>
      </c>
      <c r="E469" s="17" t="s">
        <v>90</v>
      </c>
      <c r="F469" s="16">
        <v>2</v>
      </c>
      <c r="G469" s="17" t="s">
        <v>305</v>
      </c>
      <c r="H469" s="17" t="s">
        <v>306</v>
      </c>
      <c r="I469" s="17" t="s">
        <v>307</v>
      </c>
    </row>
    <row r="470" spans="1:9" ht="27.75" customHeight="1" x14ac:dyDescent="0.3">
      <c r="A470" s="18" t="s">
        <v>388</v>
      </c>
      <c r="B470" s="19" t="s">
        <v>37</v>
      </c>
      <c r="C470" s="19" t="s">
        <v>304</v>
      </c>
      <c r="D470" s="19" t="s">
        <v>73</v>
      </c>
      <c r="E470" s="19" t="s">
        <v>90</v>
      </c>
      <c r="F470" s="18">
        <v>2</v>
      </c>
      <c r="G470" s="19" t="s">
        <v>308</v>
      </c>
      <c r="H470" s="19" t="s">
        <v>306</v>
      </c>
      <c r="I470" s="19" t="s">
        <v>309</v>
      </c>
    </row>
    <row r="471" spans="1:9" ht="27.75" customHeight="1" x14ac:dyDescent="0.3">
      <c r="A471" s="16" t="s">
        <v>388</v>
      </c>
      <c r="B471" s="17" t="s">
        <v>37</v>
      </c>
      <c r="C471" s="17" t="s">
        <v>304</v>
      </c>
      <c r="D471" s="17" t="s">
        <v>77</v>
      </c>
      <c r="E471" s="17" t="s">
        <v>119</v>
      </c>
      <c r="F471" s="16">
        <v>1.5</v>
      </c>
      <c r="G471" s="17" t="s">
        <v>310</v>
      </c>
      <c r="H471" s="17" t="s">
        <v>306</v>
      </c>
      <c r="I471" s="17" t="s">
        <v>311</v>
      </c>
    </row>
    <row r="472" spans="1:9" ht="27.75" customHeight="1" x14ac:dyDescent="0.3">
      <c r="A472" s="18" t="s">
        <v>388</v>
      </c>
      <c r="B472" s="19" t="s">
        <v>37</v>
      </c>
      <c r="C472" s="19" t="s">
        <v>304</v>
      </c>
      <c r="D472" s="19" t="s">
        <v>80</v>
      </c>
      <c r="E472" s="19" t="s">
        <v>90</v>
      </c>
      <c r="F472" s="18">
        <v>2</v>
      </c>
      <c r="G472" s="19" t="s">
        <v>312</v>
      </c>
      <c r="H472" s="19" t="s">
        <v>306</v>
      </c>
      <c r="I472" s="19" t="s">
        <v>313</v>
      </c>
    </row>
    <row r="473" spans="1:9" ht="27.75" customHeight="1" x14ac:dyDescent="0.3">
      <c r="A473" s="16" t="s">
        <v>388</v>
      </c>
      <c r="B473" s="17" t="s">
        <v>38</v>
      </c>
      <c r="C473" s="17" t="s">
        <v>314</v>
      </c>
      <c r="D473" s="17" t="s">
        <v>68</v>
      </c>
      <c r="E473" s="17" t="s">
        <v>90</v>
      </c>
      <c r="F473" s="16">
        <v>2</v>
      </c>
      <c r="G473" s="17" t="s">
        <v>315</v>
      </c>
      <c r="H473" s="17" t="s">
        <v>316</v>
      </c>
      <c r="I473" s="17" t="s">
        <v>317</v>
      </c>
    </row>
    <row r="474" spans="1:9" ht="27.75" customHeight="1" x14ac:dyDescent="0.3">
      <c r="A474" s="18" t="s">
        <v>388</v>
      </c>
      <c r="B474" s="19" t="s">
        <v>38</v>
      </c>
      <c r="C474" s="19" t="s">
        <v>314</v>
      </c>
      <c r="D474" s="19" t="s">
        <v>73</v>
      </c>
      <c r="E474" s="19" t="s">
        <v>119</v>
      </c>
      <c r="F474" s="18">
        <v>1.5</v>
      </c>
      <c r="G474" s="19" t="s">
        <v>318</v>
      </c>
      <c r="H474" s="19" t="s">
        <v>316</v>
      </c>
      <c r="I474" s="19" t="s">
        <v>319</v>
      </c>
    </row>
    <row r="475" spans="1:9" ht="27.75" customHeight="1" x14ac:dyDescent="0.3">
      <c r="A475" s="16" t="s">
        <v>388</v>
      </c>
      <c r="B475" s="17" t="s">
        <v>38</v>
      </c>
      <c r="C475" s="17" t="s">
        <v>314</v>
      </c>
      <c r="D475" s="17" t="s">
        <v>77</v>
      </c>
      <c r="E475" s="17" t="s">
        <v>90</v>
      </c>
      <c r="F475" s="16">
        <v>2</v>
      </c>
      <c r="G475" s="17" t="s">
        <v>320</v>
      </c>
      <c r="H475" s="17" t="s">
        <v>316</v>
      </c>
      <c r="I475" s="17" t="s">
        <v>321</v>
      </c>
    </row>
    <row r="476" spans="1:9" ht="27.75" customHeight="1" x14ac:dyDescent="0.3">
      <c r="A476" s="18" t="s">
        <v>388</v>
      </c>
      <c r="B476" s="19" t="s">
        <v>38</v>
      </c>
      <c r="C476" s="19" t="s">
        <v>314</v>
      </c>
      <c r="D476" s="19" t="s">
        <v>80</v>
      </c>
      <c r="E476" s="19" t="s">
        <v>90</v>
      </c>
      <c r="F476" s="18">
        <v>2</v>
      </c>
      <c r="G476" s="19" t="s">
        <v>322</v>
      </c>
      <c r="H476" s="19" t="s">
        <v>316</v>
      </c>
      <c r="I476" s="19" t="s">
        <v>323</v>
      </c>
    </row>
    <row r="477" spans="1:9" ht="27.75" customHeight="1" x14ac:dyDescent="0.3">
      <c r="A477" s="16" t="s">
        <v>388</v>
      </c>
      <c r="B477" s="17" t="s">
        <v>39</v>
      </c>
      <c r="C477" s="17" t="s">
        <v>324</v>
      </c>
      <c r="D477" s="17" t="s">
        <v>68</v>
      </c>
      <c r="E477" s="17" t="s">
        <v>90</v>
      </c>
      <c r="F477" s="16">
        <v>2</v>
      </c>
      <c r="G477" s="17" t="s">
        <v>325</v>
      </c>
      <c r="H477" s="17" t="s">
        <v>326</v>
      </c>
      <c r="I477" s="17" t="s">
        <v>327</v>
      </c>
    </row>
    <row r="478" spans="1:9" ht="27.75" customHeight="1" x14ac:dyDescent="0.3">
      <c r="A478" s="18" t="s">
        <v>388</v>
      </c>
      <c r="B478" s="19" t="s">
        <v>39</v>
      </c>
      <c r="C478" s="19" t="s">
        <v>324</v>
      </c>
      <c r="D478" s="19" t="s">
        <v>73</v>
      </c>
      <c r="E478" s="19" t="s">
        <v>69</v>
      </c>
      <c r="F478" s="18">
        <v>3</v>
      </c>
      <c r="G478" s="19" t="s">
        <v>328</v>
      </c>
      <c r="H478" s="19" t="s">
        <v>326</v>
      </c>
      <c r="I478" s="19" t="s">
        <v>329</v>
      </c>
    </row>
    <row r="479" spans="1:9" ht="27.75" customHeight="1" x14ac:dyDescent="0.3">
      <c r="A479" s="16" t="s">
        <v>388</v>
      </c>
      <c r="B479" s="17" t="s">
        <v>39</v>
      </c>
      <c r="C479" s="17" t="s">
        <v>324</v>
      </c>
      <c r="D479" s="17" t="s">
        <v>77</v>
      </c>
      <c r="E479" s="17" t="s">
        <v>90</v>
      </c>
      <c r="F479" s="16">
        <v>2</v>
      </c>
      <c r="G479" s="17" t="s">
        <v>330</v>
      </c>
      <c r="H479" s="17" t="s">
        <v>326</v>
      </c>
      <c r="I479" s="17" t="s">
        <v>331</v>
      </c>
    </row>
    <row r="480" spans="1:9" ht="27.75" customHeight="1" x14ac:dyDescent="0.3">
      <c r="A480" s="18" t="s">
        <v>388</v>
      </c>
      <c r="B480" s="19" t="s">
        <v>39</v>
      </c>
      <c r="C480" s="19" t="s">
        <v>324</v>
      </c>
      <c r="D480" s="19" t="s">
        <v>80</v>
      </c>
      <c r="E480" s="19" t="s">
        <v>90</v>
      </c>
      <c r="F480" s="18">
        <v>2</v>
      </c>
      <c r="G480" s="19" t="s">
        <v>332</v>
      </c>
      <c r="H480" s="19" t="s">
        <v>326</v>
      </c>
      <c r="I480" s="19" t="s">
        <v>333</v>
      </c>
    </row>
    <row r="481" spans="1:9" ht="27.75" customHeight="1" x14ac:dyDescent="0.3">
      <c r="A481" s="16" t="s">
        <v>388</v>
      </c>
      <c r="B481" s="17" t="s">
        <v>40</v>
      </c>
      <c r="C481" s="17" t="s">
        <v>334</v>
      </c>
      <c r="D481" s="17" t="s">
        <v>68</v>
      </c>
      <c r="E481" s="17" t="s">
        <v>69</v>
      </c>
      <c r="F481" s="16">
        <v>3</v>
      </c>
      <c r="G481" s="17" t="s">
        <v>335</v>
      </c>
      <c r="H481" s="17" t="s">
        <v>336</v>
      </c>
      <c r="I481" s="17" t="s">
        <v>337</v>
      </c>
    </row>
    <row r="482" spans="1:9" ht="27.75" customHeight="1" x14ac:dyDescent="0.3">
      <c r="A482" s="18" t="s">
        <v>388</v>
      </c>
      <c r="B482" s="19" t="s">
        <v>40</v>
      </c>
      <c r="C482" s="19" t="s">
        <v>334</v>
      </c>
      <c r="D482" s="19" t="s">
        <v>73</v>
      </c>
      <c r="E482" s="19" t="s">
        <v>119</v>
      </c>
      <c r="F482" s="18">
        <v>1.5</v>
      </c>
      <c r="G482" s="19" t="s">
        <v>338</v>
      </c>
      <c r="H482" s="19" t="s">
        <v>336</v>
      </c>
      <c r="I482" s="19" t="s">
        <v>339</v>
      </c>
    </row>
    <row r="483" spans="1:9" ht="27.75" customHeight="1" x14ac:dyDescent="0.3">
      <c r="A483" s="16" t="s">
        <v>388</v>
      </c>
      <c r="B483" s="17" t="s">
        <v>40</v>
      </c>
      <c r="C483" s="17" t="s">
        <v>334</v>
      </c>
      <c r="D483" s="17" t="s">
        <v>77</v>
      </c>
      <c r="E483" s="17" t="s">
        <v>90</v>
      </c>
      <c r="F483" s="16">
        <v>2</v>
      </c>
      <c r="G483" s="17" t="s">
        <v>340</v>
      </c>
      <c r="H483" s="17" t="s">
        <v>336</v>
      </c>
      <c r="I483" s="17" t="s">
        <v>341</v>
      </c>
    </row>
    <row r="484" spans="1:9" ht="27.75" customHeight="1" x14ac:dyDescent="0.3">
      <c r="A484" s="18" t="s">
        <v>388</v>
      </c>
      <c r="B484" s="19" t="s">
        <v>40</v>
      </c>
      <c r="C484" s="19" t="s">
        <v>334</v>
      </c>
      <c r="D484" s="19" t="s">
        <v>80</v>
      </c>
      <c r="E484" s="19" t="s">
        <v>90</v>
      </c>
      <c r="F484" s="18">
        <v>2</v>
      </c>
      <c r="G484" s="19" t="s">
        <v>342</v>
      </c>
      <c r="H484" s="19" t="s">
        <v>336</v>
      </c>
      <c r="I484" s="19" t="s">
        <v>343</v>
      </c>
    </row>
    <row r="485" spans="1:9" ht="27.75" customHeight="1" x14ac:dyDescent="0.3">
      <c r="A485" s="16" t="s">
        <v>388</v>
      </c>
      <c r="B485" s="17" t="s">
        <v>41</v>
      </c>
      <c r="C485" s="17" t="s">
        <v>344</v>
      </c>
      <c r="D485" s="17" t="s">
        <v>68</v>
      </c>
      <c r="E485" s="17" t="s">
        <v>69</v>
      </c>
      <c r="F485" s="16">
        <v>3</v>
      </c>
      <c r="G485" s="17" t="s">
        <v>345</v>
      </c>
      <c r="H485" s="17" t="s">
        <v>346</v>
      </c>
      <c r="I485" s="17" t="s">
        <v>347</v>
      </c>
    </row>
    <row r="486" spans="1:9" ht="27.75" customHeight="1" x14ac:dyDescent="0.3">
      <c r="A486" s="18" t="s">
        <v>388</v>
      </c>
      <c r="B486" s="19" t="s">
        <v>41</v>
      </c>
      <c r="C486" s="19" t="s">
        <v>344</v>
      </c>
      <c r="D486" s="19" t="s">
        <v>73</v>
      </c>
      <c r="E486" s="19" t="s">
        <v>69</v>
      </c>
      <c r="F486" s="18">
        <v>3</v>
      </c>
      <c r="G486" s="19" t="s">
        <v>348</v>
      </c>
      <c r="H486" s="19" t="s">
        <v>346</v>
      </c>
      <c r="I486" s="19" t="s">
        <v>349</v>
      </c>
    </row>
    <row r="487" spans="1:9" ht="27.75" customHeight="1" x14ac:dyDescent="0.3">
      <c r="A487" s="16" t="s">
        <v>388</v>
      </c>
      <c r="B487" s="17" t="s">
        <v>41</v>
      </c>
      <c r="C487" s="17" t="s">
        <v>344</v>
      </c>
      <c r="D487" s="17" t="s">
        <v>77</v>
      </c>
      <c r="E487" s="17" t="s">
        <v>74</v>
      </c>
      <c r="F487" s="16">
        <v>2.5</v>
      </c>
      <c r="G487" s="17" t="s">
        <v>350</v>
      </c>
      <c r="H487" s="17" t="s">
        <v>346</v>
      </c>
      <c r="I487" s="17" t="s">
        <v>351</v>
      </c>
    </row>
    <row r="488" spans="1:9" ht="27.75" customHeight="1" x14ac:dyDescent="0.3">
      <c r="A488" s="18" t="s">
        <v>388</v>
      </c>
      <c r="B488" s="19" t="s">
        <v>41</v>
      </c>
      <c r="C488" s="19" t="s">
        <v>344</v>
      </c>
      <c r="D488" s="19" t="s">
        <v>80</v>
      </c>
      <c r="E488" s="19" t="s">
        <v>69</v>
      </c>
      <c r="F488" s="18">
        <v>3</v>
      </c>
      <c r="G488" s="19" t="s">
        <v>352</v>
      </c>
      <c r="H488" s="19" t="s">
        <v>346</v>
      </c>
      <c r="I488" s="19" t="s">
        <v>353</v>
      </c>
    </row>
    <row r="489" spans="1:9" ht="27.75" customHeight="1" x14ac:dyDescent="0.3">
      <c r="A489" s="16" t="s">
        <v>388</v>
      </c>
      <c r="B489" s="17" t="s">
        <v>354</v>
      </c>
      <c r="C489" s="17" t="s">
        <v>355</v>
      </c>
      <c r="D489" s="17" t="s">
        <v>68</v>
      </c>
      <c r="E489" s="17" t="s">
        <v>69</v>
      </c>
      <c r="F489" s="16">
        <v>3</v>
      </c>
      <c r="G489" s="17" t="s">
        <v>356</v>
      </c>
      <c r="H489" s="17" t="s">
        <v>357</v>
      </c>
      <c r="I489" s="17" t="s">
        <v>358</v>
      </c>
    </row>
    <row r="490" spans="1:9" ht="27.75" customHeight="1" x14ac:dyDescent="0.3">
      <c r="A490" s="18" t="s">
        <v>388</v>
      </c>
      <c r="B490" s="19" t="s">
        <v>354</v>
      </c>
      <c r="C490" s="19" t="s">
        <v>355</v>
      </c>
      <c r="D490" s="19" t="s">
        <v>73</v>
      </c>
      <c r="E490" s="19" t="s">
        <v>87</v>
      </c>
      <c r="F490" s="18">
        <v>1</v>
      </c>
      <c r="G490" s="19" t="s">
        <v>359</v>
      </c>
      <c r="H490" s="19" t="s">
        <v>357</v>
      </c>
      <c r="I490" s="19" t="s">
        <v>360</v>
      </c>
    </row>
    <row r="491" spans="1:9" ht="27.75" customHeight="1" x14ac:dyDescent="0.3">
      <c r="A491" s="16" t="s">
        <v>388</v>
      </c>
      <c r="B491" s="17" t="s">
        <v>354</v>
      </c>
      <c r="C491" s="17" t="s">
        <v>355</v>
      </c>
      <c r="D491" s="17" t="s">
        <v>77</v>
      </c>
      <c r="E491" s="17" t="s">
        <v>87</v>
      </c>
      <c r="F491" s="16">
        <v>1</v>
      </c>
      <c r="G491" s="17" t="s">
        <v>361</v>
      </c>
      <c r="H491" s="17" t="s">
        <v>357</v>
      </c>
      <c r="I491" s="17" t="s">
        <v>362</v>
      </c>
    </row>
    <row r="492" spans="1:9" ht="27.75" customHeight="1" x14ac:dyDescent="0.3">
      <c r="A492" s="18" t="s">
        <v>388</v>
      </c>
      <c r="B492" s="19" t="s">
        <v>354</v>
      </c>
      <c r="C492" s="19" t="s">
        <v>355</v>
      </c>
      <c r="D492" s="19" t="s">
        <v>80</v>
      </c>
      <c r="E492" s="19" t="s">
        <v>87</v>
      </c>
      <c r="F492" s="18">
        <v>1</v>
      </c>
      <c r="G492" s="19" t="s">
        <v>363</v>
      </c>
      <c r="H492" s="19" t="s">
        <v>357</v>
      </c>
      <c r="I492" s="19" t="s">
        <v>364</v>
      </c>
    </row>
    <row r="493" spans="1:9" ht="27.75" customHeight="1" x14ac:dyDescent="0.3">
      <c r="A493" s="16" t="s">
        <v>388</v>
      </c>
      <c r="B493" s="17" t="s">
        <v>48</v>
      </c>
      <c r="C493" s="17" t="s">
        <v>365</v>
      </c>
      <c r="D493" s="17" t="s">
        <v>68</v>
      </c>
      <c r="E493" s="17" t="s">
        <v>90</v>
      </c>
      <c r="F493" s="16">
        <v>2</v>
      </c>
      <c r="G493" s="17" t="s">
        <v>366</v>
      </c>
      <c r="H493" s="17" t="s">
        <v>367</v>
      </c>
      <c r="I493" s="17" t="s">
        <v>368</v>
      </c>
    </row>
    <row r="494" spans="1:9" ht="27.75" customHeight="1" x14ac:dyDescent="0.3">
      <c r="A494" s="18" t="s">
        <v>388</v>
      </c>
      <c r="B494" s="19" t="s">
        <v>48</v>
      </c>
      <c r="C494" s="19" t="s">
        <v>365</v>
      </c>
      <c r="D494" s="19" t="s">
        <v>73</v>
      </c>
      <c r="E494" s="19" t="s">
        <v>90</v>
      </c>
      <c r="F494" s="18">
        <v>2</v>
      </c>
      <c r="G494" s="19" t="s">
        <v>369</v>
      </c>
      <c r="H494" s="19" t="s">
        <v>367</v>
      </c>
      <c r="I494" s="19" t="s">
        <v>370</v>
      </c>
    </row>
    <row r="495" spans="1:9" ht="27.75" customHeight="1" x14ac:dyDescent="0.3">
      <c r="A495" s="16" t="s">
        <v>388</v>
      </c>
      <c r="B495" s="17" t="s">
        <v>48</v>
      </c>
      <c r="C495" s="17" t="s">
        <v>365</v>
      </c>
      <c r="D495" s="17" t="s">
        <v>77</v>
      </c>
      <c r="E495" s="17" t="s">
        <v>90</v>
      </c>
      <c r="F495" s="16">
        <v>2</v>
      </c>
      <c r="G495" s="17" t="s">
        <v>371</v>
      </c>
      <c r="H495" s="17" t="s">
        <v>367</v>
      </c>
      <c r="I495" s="17" t="s">
        <v>372</v>
      </c>
    </row>
    <row r="496" spans="1:9" ht="27.75" customHeight="1" x14ac:dyDescent="0.3">
      <c r="A496" s="18" t="s">
        <v>388</v>
      </c>
      <c r="B496" s="19" t="s">
        <v>48</v>
      </c>
      <c r="C496" s="19" t="s">
        <v>365</v>
      </c>
      <c r="D496" s="19" t="s">
        <v>80</v>
      </c>
      <c r="E496" s="19" t="s">
        <v>90</v>
      </c>
      <c r="F496" s="18">
        <v>2</v>
      </c>
      <c r="G496" s="19" t="s">
        <v>373</v>
      </c>
      <c r="H496" s="19" t="s">
        <v>367</v>
      </c>
      <c r="I496" s="19" t="s">
        <v>374</v>
      </c>
    </row>
    <row r="497" spans="1:9" ht="27.75" customHeight="1" x14ac:dyDescent="0.3">
      <c r="A497" s="16" t="s">
        <v>388</v>
      </c>
      <c r="B497" s="17" t="s">
        <v>375</v>
      </c>
      <c r="C497" s="17" t="s">
        <v>376</v>
      </c>
      <c r="D497" s="17" t="s">
        <v>68</v>
      </c>
      <c r="E497" s="17" t="s">
        <v>69</v>
      </c>
      <c r="F497" s="16">
        <v>3</v>
      </c>
      <c r="G497" s="17" t="s">
        <v>377</v>
      </c>
      <c r="H497" s="17" t="s">
        <v>378</v>
      </c>
      <c r="I497" s="17" t="s">
        <v>379</v>
      </c>
    </row>
    <row r="498" spans="1:9" ht="27.75" customHeight="1" x14ac:dyDescent="0.3">
      <c r="A498" s="18" t="s">
        <v>388</v>
      </c>
      <c r="B498" s="19" t="s">
        <v>375</v>
      </c>
      <c r="C498" s="19" t="s">
        <v>376</v>
      </c>
      <c r="D498" s="19" t="s">
        <v>73</v>
      </c>
      <c r="E498" s="19" t="s">
        <v>87</v>
      </c>
      <c r="F498" s="18">
        <v>1</v>
      </c>
      <c r="G498" s="19" t="s">
        <v>380</v>
      </c>
      <c r="H498" s="19" t="s">
        <v>378</v>
      </c>
      <c r="I498" s="19" t="s">
        <v>381</v>
      </c>
    </row>
    <row r="499" spans="1:9" ht="27.75" customHeight="1" x14ac:dyDescent="0.3">
      <c r="A499" s="16" t="s">
        <v>388</v>
      </c>
      <c r="B499" s="17" t="s">
        <v>375</v>
      </c>
      <c r="C499" s="17" t="s">
        <v>376</v>
      </c>
      <c r="D499" s="17" t="s">
        <v>77</v>
      </c>
      <c r="E499" s="17" t="s">
        <v>90</v>
      </c>
      <c r="F499" s="16">
        <v>2</v>
      </c>
      <c r="G499" s="17" t="s">
        <v>382</v>
      </c>
      <c r="H499" s="17" t="s">
        <v>378</v>
      </c>
      <c r="I499" s="17" t="s">
        <v>383</v>
      </c>
    </row>
    <row r="500" spans="1:9" ht="27.75" customHeight="1" x14ac:dyDescent="0.3">
      <c r="A500" s="18" t="s">
        <v>388</v>
      </c>
      <c r="B500" s="19" t="s">
        <v>375</v>
      </c>
      <c r="C500" s="19" t="s">
        <v>376</v>
      </c>
      <c r="D500" s="19" t="s">
        <v>80</v>
      </c>
      <c r="E500" s="19" t="s">
        <v>87</v>
      </c>
      <c r="F500" s="18">
        <v>1</v>
      </c>
      <c r="G500" s="19" t="s">
        <v>384</v>
      </c>
      <c r="H500" s="19" t="s">
        <v>378</v>
      </c>
      <c r="I500" s="19" t="s">
        <v>385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showGridLines="0" topLeftCell="D1" zoomScaleNormal="100" workbookViewId="0">
      <pane ySplit="1" topLeftCell="A2" activePane="bottomLeft" state="frozen"/>
      <selection pane="bottomLeft" activeCell="D4" sqref="D4"/>
    </sheetView>
  </sheetViews>
  <sheetFormatPr defaultColWidth="8.6640625" defaultRowHeight="14.4" x14ac:dyDescent="0.3"/>
  <cols>
    <col min="1" max="1" width="26" customWidth="1"/>
    <col min="2" max="2" width="60" customWidth="1"/>
    <col min="3" max="3" width="48" customWidth="1"/>
    <col min="4" max="4" width="42" customWidth="1"/>
    <col min="5" max="5" width="22" customWidth="1"/>
    <col min="6" max="6" width="48" customWidth="1"/>
    <col min="7" max="7" width="20" customWidth="1"/>
    <col min="8" max="8" width="14" customWidth="1"/>
    <col min="9" max="9" width="55" customWidth="1"/>
  </cols>
  <sheetData>
    <row r="1" spans="1:9" ht="17.25" customHeight="1" x14ac:dyDescent="0.3">
      <c r="A1" s="40" t="s">
        <v>389</v>
      </c>
      <c r="B1" s="40"/>
      <c r="C1" s="40"/>
      <c r="D1" s="40"/>
      <c r="E1" s="40"/>
      <c r="F1" s="40"/>
    </row>
    <row r="2" spans="1:9" x14ac:dyDescent="0.3">
      <c r="A2" s="41" t="s">
        <v>390</v>
      </c>
      <c r="B2" s="41"/>
      <c r="C2" s="41"/>
      <c r="D2" s="41"/>
      <c r="E2" s="41"/>
      <c r="F2" s="41"/>
    </row>
    <row r="4" spans="1:9" ht="41.25" customHeight="1" x14ac:dyDescent="0.3">
      <c r="A4" s="20" t="s">
        <v>391</v>
      </c>
      <c r="B4" s="20" t="s">
        <v>392</v>
      </c>
      <c r="C4" s="20" t="s">
        <v>393</v>
      </c>
      <c r="D4" s="20" t="s">
        <v>394</v>
      </c>
      <c r="E4" s="20" t="s">
        <v>395</v>
      </c>
      <c r="F4" s="20" t="s">
        <v>396</v>
      </c>
      <c r="G4" s="20" t="s">
        <v>397</v>
      </c>
      <c r="H4" s="20" t="s">
        <v>398</v>
      </c>
      <c r="I4" s="20" t="s">
        <v>399</v>
      </c>
    </row>
    <row r="5" spans="1:9" ht="52.5" customHeight="1" x14ac:dyDescent="0.3">
      <c r="A5" s="21" t="s">
        <v>12</v>
      </c>
      <c r="B5" s="21" t="s">
        <v>400</v>
      </c>
      <c r="C5" s="21" t="s">
        <v>401</v>
      </c>
      <c r="D5" s="21" t="s">
        <v>402</v>
      </c>
      <c r="E5" s="21" t="s">
        <v>403</v>
      </c>
      <c r="F5" s="21" t="s">
        <v>404</v>
      </c>
      <c r="G5" s="22" t="s">
        <v>405</v>
      </c>
      <c r="H5" s="23" t="s">
        <v>406</v>
      </c>
      <c r="I5" s="21" t="s">
        <v>407</v>
      </c>
    </row>
    <row r="6" spans="1:9" ht="39" customHeight="1" x14ac:dyDescent="0.3">
      <c r="A6" s="24" t="s">
        <v>14</v>
      </c>
      <c r="B6" s="24" t="s">
        <v>408</v>
      </c>
      <c r="C6" s="24" t="s">
        <v>409</v>
      </c>
      <c r="D6" s="24" t="s">
        <v>410</v>
      </c>
      <c r="E6" s="24" t="s">
        <v>411</v>
      </c>
      <c r="F6" s="24" t="s">
        <v>412</v>
      </c>
      <c r="G6" s="22" t="s">
        <v>405</v>
      </c>
      <c r="H6" s="23" t="s">
        <v>413</v>
      </c>
      <c r="I6" s="21" t="s">
        <v>414</v>
      </c>
    </row>
    <row r="7" spans="1:9" ht="52.5" customHeight="1" x14ac:dyDescent="0.3">
      <c r="A7" s="21" t="s">
        <v>15</v>
      </c>
      <c r="B7" s="21" t="s">
        <v>415</v>
      </c>
      <c r="C7" s="21" t="s">
        <v>416</v>
      </c>
      <c r="D7" s="21" t="s">
        <v>417</v>
      </c>
      <c r="E7" s="21" t="s">
        <v>418</v>
      </c>
      <c r="F7" s="21" t="s">
        <v>419</v>
      </c>
      <c r="G7" s="25" t="s">
        <v>420</v>
      </c>
      <c r="H7" s="23" t="s">
        <v>421</v>
      </c>
      <c r="I7" s="21" t="s">
        <v>422</v>
      </c>
    </row>
    <row r="8" spans="1:9" ht="52.5" customHeight="1" x14ac:dyDescent="0.3">
      <c r="A8" s="24" t="s">
        <v>16</v>
      </c>
      <c r="B8" s="24" t="s">
        <v>423</v>
      </c>
      <c r="C8" s="24" t="s">
        <v>424</v>
      </c>
      <c r="D8" s="24" t="s">
        <v>425</v>
      </c>
      <c r="E8" s="24" t="s">
        <v>411</v>
      </c>
      <c r="F8" s="24" t="s">
        <v>426</v>
      </c>
      <c r="G8" s="22" t="s">
        <v>405</v>
      </c>
      <c r="H8" s="23" t="s">
        <v>413</v>
      </c>
      <c r="I8" s="21" t="s">
        <v>427</v>
      </c>
    </row>
    <row r="9" spans="1:9" ht="39" customHeight="1" x14ac:dyDescent="0.3">
      <c r="A9" s="21" t="s">
        <v>17</v>
      </c>
      <c r="B9" s="21" t="s">
        <v>428</v>
      </c>
      <c r="C9" s="21" t="s">
        <v>429</v>
      </c>
      <c r="D9" s="21" t="s">
        <v>430</v>
      </c>
      <c r="E9" s="21" t="s">
        <v>411</v>
      </c>
      <c r="F9" s="21" t="s">
        <v>431</v>
      </c>
      <c r="G9" s="22" t="s">
        <v>405</v>
      </c>
      <c r="H9" s="23" t="s">
        <v>413</v>
      </c>
      <c r="I9" s="21" t="s">
        <v>432</v>
      </c>
    </row>
    <row r="10" spans="1:9" ht="52.5" customHeight="1" x14ac:dyDescent="0.3">
      <c r="A10" s="24" t="s">
        <v>18</v>
      </c>
      <c r="B10" s="24" t="s">
        <v>433</v>
      </c>
      <c r="C10" s="24" t="s">
        <v>434</v>
      </c>
      <c r="D10" s="24" t="s">
        <v>435</v>
      </c>
      <c r="E10" s="24" t="s">
        <v>436</v>
      </c>
      <c r="F10" s="24" t="s">
        <v>437</v>
      </c>
      <c r="G10" s="22" t="s">
        <v>405</v>
      </c>
      <c r="H10" s="23" t="s">
        <v>406</v>
      </c>
      <c r="I10" s="21" t="s">
        <v>438</v>
      </c>
    </row>
    <row r="11" spans="1:9" ht="52.5" customHeight="1" x14ac:dyDescent="0.3">
      <c r="A11" s="21" t="s">
        <v>19</v>
      </c>
      <c r="B11" s="21" t="s">
        <v>439</v>
      </c>
      <c r="C11" s="21" t="s">
        <v>440</v>
      </c>
      <c r="D11" s="21" t="s">
        <v>441</v>
      </c>
      <c r="E11" s="21" t="s">
        <v>411</v>
      </c>
      <c r="F11" s="21" t="s">
        <v>442</v>
      </c>
      <c r="G11" s="22" t="s">
        <v>405</v>
      </c>
      <c r="H11" s="23" t="s">
        <v>413</v>
      </c>
      <c r="I11" s="21" t="s">
        <v>443</v>
      </c>
    </row>
    <row r="12" spans="1:9" ht="52.5" customHeight="1" x14ac:dyDescent="0.3">
      <c r="A12" s="24" t="s">
        <v>20</v>
      </c>
      <c r="B12" s="24" t="s">
        <v>444</v>
      </c>
      <c r="C12" s="24" t="s">
        <v>445</v>
      </c>
      <c r="D12" s="24" t="s">
        <v>446</v>
      </c>
      <c r="E12" s="24" t="s">
        <v>447</v>
      </c>
      <c r="F12" s="24" t="s">
        <v>448</v>
      </c>
      <c r="G12" s="25" t="s">
        <v>420</v>
      </c>
      <c r="H12" s="23" t="s">
        <v>421</v>
      </c>
      <c r="I12" s="21" t="s">
        <v>449</v>
      </c>
    </row>
    <row r="13" spans="1:9" ht="39" customHeight="1" x14ac:dyDescent="0.3">
      <c r="A13" s="21" t="s">
        <v>21</v>
      </c>
      <c r="B13" s="21" t="s">
        <v>450</v>
      </c>
      <c r="C13" s="21" t="s">
        <v>451</v>
      </c>
      <c r="D13" s="21" t="s">
        <v>452</v>
      </c>
      <c r="E13" s="21" t="s">
        <v>411</v>
      </c>
      <c r="F13" s="21" t="s">
        <v>453</v>
      </c>
      <c r="G13" s="22" t="s">
        <v>405</v>
      </c>
      <c r="H13" s="23" t="s">
        <v>406</v>
      </c>
      <c r="I13" s="21" t="s">
        <v>454</v>
      </c>
    </row>
    <row r="14" spans="1:9" ht="52.5" customHeight="1" x14ac:dyDescent="0.3">
      <c r="A14" s="24" t="s">
        <v>22</v>
      </c>
      <c r="B14" s="24" t="s">
        <v>455</v>
      </c>
      <c r="C14" s="24" t="s">
        <v>456</v>
      </c>
      <c r="D14" s="24" t="s">
        <v>457</v>
      </c>
      <c r="E14" s="24" t="s">
        <v>411</v>
      </c>
      <c r="F14" s="24" t="s">
        <v>458</v>
      </c>
      <c r="G14" s="25" t="s">
        <v>420</v>
      </c>
      <c r="H14" s="23" t="s">
        <v>421</v>
      </c>
      <c r="I14" s="21" t="s">
        <v>459</v>
      </c>
    </row>
    <row r="15" spans="1:9" ht="52.5" customHeight="1" x14ac:dyDescent="0.3">
      <c r="A15" s="21" t="s">
        <v>23</v>
      </c>
      <c r="B15" s="21" t="s">
        <v>460</v>
      </c>
      <c r="C15" s="21" t="s">
        <v>461</v>
      </c>
      <c r="D15" s="21" t="s">
        <v>462</v>
      </c>
      <c r="E15" s="21" t="s">
        <v>411</v>
      </c>
      <c r="F15" s="21" t="s">
        <v>463</v>
      </c>
      <c r="G15" s="22" t="s">
        <v>405</v>
      </c>
      <c r="H15" s="23" t="s">
        <v>413</v>
      </c>
      <c r="I15" s="21" t="s">
        <v>464</v>
      </c>
    </row>
    <row r="16" spans="1:9" ht="52.5" customHeight="1" x14ac:dyDescent="0.3">
      <c r="A16" s="24" t="s">
        <v>24</v>
      </c>
      <c r="B16" s="24" t="s">
        <v>465</v>
      </c>
      <c r="C16" s="24" t="s">
        <v>466</v>
      </c>
      <c r="D16" s="24" t="s">
        <v>467</v>
      </c>
      <c r="E16" s="24" t="s">
        <v>468</v>
      </c>
      <c r="F16" s="24" t="s">
        <v>469</v>
      </c>
      <c r="G16" s="22" t="s">
        <v>405</v>
      </c>
      <c r="H16" s="23" t="s">
        <v>406</v>
      </c>
      <c r="I16" s="21" t="s">
        <v>470</v>
      </c>
    </row>
    <row r="17" spans="1:9" ht="52.5" customHeight="1" x14ac:dyDescent="0.3">
      <c r="A17" s="21" t="s">
        <v>25</v>
      </c>
      <c r="B17" s="21" t="s">
        <v>471</v>
      </c>
      <c r="C17" s="21" t="s">
        <v>472</v>
      </c>
      <c r="D17" s="21" t="s">
        <v>473</v>
      </c>
      <c r="E17" s="21" t="s">
        <v>411</v>
      </c>
      <c r="F17" s="21" t="s">
        <v>474</v>
      </c>
      <c r="G17" s="22" t="s">
        <v>405</v>
      </c>
      <c r="H17" s="23" t="s">
        <v>406</v>
      </c>
      <c r="I17" s="21" t="s">
        <v>475</v>
      </c>
    </row>
    <row r="18" spans="1:9" ht="52.5" customHeight="1" x14ac:dyDescent="0.3">
      <c r="A18" s="24" t="s">
        <v>26</v>
      </c>
      <c r="B18" s="24" t="s">
        <v>476</v>
      </c>
      <c r="C18" s="24" t="s">
        <v>477</v>
      </c>
      <c r="D18" s="24" t="s">
        <v>478</v>
      </c>
      <c r="E18" s="24" t="s">
        <v>411</v>
      </c>
      <c r="F18" s="24" t="s">
        <v>479</v>
      </c>
      <c r="G18" s="25" t="s">
        <v>420</v>
      </c>
      <c r="H18" s="23" t="s">
        <v>421</v>
      </c>
      <c r="I18" s="21" t="s">
        <v>480</v>
      </c>
    </row>
    <row r="19" spans="1:9" ht="66" customHeight="1" x14ac:dyDescent="0.3">
      <c r="A19" s="21" t="s">
        <v>27</v>
      </c>
      <c r="B19" s="21" t="s">
        <v>481</v>
      </c>
      <c r="C19" s="21" t="s">
        <v>482</v>
      </c>
      <c r="D19" s="21" t="s">
        <v>483</v>
      </c>
      <c r="E19" s="21" t="s">
        <v>411</v>
      </c>
      <c r="F19" s="21" t="s">
        <v>484</v>
      </c>
      <c r="G19" s="25" t="s">
        <v>420</v>
      </c>
      <c r="H19" s="23" t="s">
        <v>421</v>
      </c>
      <c r="I19" s="21" t="s">
        <v>485</v>
      </c>
    </row>
    <row r="20" spans="1:9" ht="66" customHeight="1" x14ac:dyDescent="0.3">
      <c r="A20" s="24" t="s">
        <v>28</v>
      </c>
      <c r="B20" s="24" t="s">
        <v>486</v>
      </c>
      <c r="C20" s="24" t="s">
        <v>487</v>
      </c>
      <c r="D20" s="24" t="s">
        <v>488</v>
      </c>
      <c r="E20" s="24" t="s">
        <v>411</v>
      </c>
      <c r="F20" s="24" t="s">
        <v>489</v>
      </c>
      <c r="G20" s="22" t="s">
        <v>405</v>
      </c>
      <c r="H20" s="23" t="s">
        <v>413</v>
      </c>
      <c r="I20" s="21" t="s">
        <v>490</v>
      </c>
    </row>
    <row r="21" spans="1:9" ht="52.5" customHeight="1" x14ac:dyDescent="0.3">
      <c r="A21" s="21" t="s">
        <v>29</v>
      </c>
      <c r="B21" s="21" t="s">
        <v>491</v>
      </c>
      <c r="C21" s="21" t="s">
        <v>492</v>
      </c>
      <c r="D21" s="21" t="s">
        <v>493</v>
      </c>
      <c r="E21" s="21" t="s">
        <v>411</v>
      </c>
      <c r="F21" s="21" t="s">
        <v>494</v>
      </c>
      <c r="G21" s="22" t="s">
        <v>405</v>
      </c>
      <c r="H21" s="23" t="s">
        <v>413</v>
      </c>
      <c r="I21" s="21" t="s">
        <v>495</v>
      </c>
    </row>
    <row r="22" spans="1:9" ht="39" customHeight="1" x14ac:dyDescent="0.3">
      <c r="A22" s="24" t="s">
        <v>30</v>
      </c>
      <c r="B22" s="24" t="s">
        <v>496</v>
      </c>
      <c r="C22" s="24" t="s">
        <v>497</v>
      </c>
      <c r="D22" s="24" t="s">
        <v>498</v>
      </c>
      <c r="E22" s="24" t="s">
        <v>411</v>
      </c>
      <c r="F22" s="24" t="s">
        <v>499</v>
      </c>
      <c r="G22" s="26" t="s">
        <v>500</v>
      </c>
      <c r="H22" s="23" t="s">
        <v>501</v>
      </c>
      <c r="I22" s="21" t="s">
        <v>502</v>
      </c>
    </row>
    <row r="23" spans="1:9" ht="52.5" customHeight="1" x14ac:dyDescent="0.3">
      <c r="A23" s="21" t="s">
        <v>31</v>
      </c>
      <c r="B23" s="21" t="s">
        <v>503</v>
      </c>
      <c r="C23" s="21" t="s">
        <v>504</v>
      </c>
      <c r="D23" s="21" t="s">
        <v>505</v>
      </c>
      <c r="E23" s="21" t="s">
        <v>411</v>
      </c>
      <c r="F23" s="21" t="s">
        <v>506</v>
      </c>
      <c r="G23" s="22" t="s">
        <v>405</v>
      </c>
      <c r="H23" s="23" t="s">
        <v>413</v>
      </c>
      <c r="I23" s="21" t="s">
        <v>507</v>
      </c>
    </row>
    <row r="24" spans="1:9" ht="66" customHeight="1" x14ac:dyDescent="0.3">
      <c r="A24" s="24" t="s">
        <v>32</v>
      </c>
      <c r="B24" s="24" t="s">
        <v>508</v>
      </c>
      <c r="C24" s="24" t="s">
        <v>509</v>
      </c>
      <c r="D24" s="24" t="s">
        <v>510</v>
      </c>
      <c r="E24" s="24" t="s">
        <v>511</v>
      </c>
      <c r="F24" s="24" t="s">
        <v>512</v>
      </c>
      <c r="G24" s="22" t="s">
        <v>405</v>
      </c>
      <c r="H24" s="23" t="s">
        <v>406</v>
      </c>
      <c r="I24" s="21" t="s">
        <v>513</v>
      </c>
    </row>
    <row r="25" spans="1:9" ht="52.5" customHeight="1" x14ac:dyDescent="0.3">
      <c r="A25" s="21" t="s">
        <v>33</v>
      </c>
      <c r="B25" s="21" t="s">
        <v>514</v>
      </c>
      <c r="C25" s="21" t="s">
        <v>515</v>
      </c>
      <c r="D25" s="21" t="s">
        <v>516</v>
      </c>
      <c r="E25" s="21" t="s">
        <v>411</v>
      </c>
      <c r="F25" s="21" t="s">
        <v>517</v>
      </c>
      <c r="G25" s="25" t="s">
        <v>420</v>
      </c>
      <c r="H25" s="23" t="s">
        <v>421</v>
      </c>
      <c r="I25" s="21" t="s">
        <v>518</v>
      </c>
    </row>
    <row r="26" spans="1:9" ht="52.5" customHeight="1" x14ac:dyDescent="0.3">
      <c r="A26" s="24" t="s">
        <v>34</v>
      </c>
      <c r="B26" s="24" t="s">
        <v>519</v>
      </c>
      <c r="C26" s="24" t="s">
        <v>520</v>
      </c>
      <c r="D26" s="24" t="s">
        <v>516</v>
      </c>
      <c r="E26" s="24" t="s">
        <v>411</v>
      </c>
      <c r="F26" s="24" t="s">
        <v>521</v>
      </c>
      <c r="G26" s="25" t="s">
        <v>420</v>
      </c>
      <c r="H26" s="23" t="s">
        <v>421</v>
      </c>
      <c r="I26" s="21" t="s">
        <v>522</v>
      </c>
    </row>
    <row r="27" spans="1:9" ht="52.5" customHeight="1" x14ac:dyDescent="0.3">
      <c r="A27" s="21" t="s">
        <v>35</v>
      </c>
      <c r="B27" s="21" t="s">
        <v>523</v>
      </c>
      <c r="C27" s="21" t="s">
        <v>524</v>
      </c>
      <c r="D27" s="21" t="s">
        <v>525</v>
      </c>
      <c r="E27" s="21" t="s">
        <v>411</v>
      </c>
      <c r="F27" s="21" t="s">
        <v>526</v>
      </c>
      <c r="G27" s="25" t="s">
        <v>420</v>
      </c>
      <c r="H27" s="23" t="s">
        <v>527</v>
      </c>
      <c r="I27" s="21" t="s">
        <v>528</v>
      </c>
    </row>
    <row r="28" spans="1:9" ht="52.5" customHeight="1" x14ac:dyDescent="0.3">
      <c r="A28" s="24" t="s">
        <v>36</v>
      </c>
      <c r="B28" s="24" t="s">
        <v>529</v>
      </c>
      <c r="C28" s="24" t="s">
        <v>530</v>
      </c>
      <c r="D28" s="24" t="s">
        <v>531</v>
      </c>
      <c r="E28" s="24" t="s">
        <v>532</v>
      </c>
      <c r="F28" s="24" t="s">
        <v>533</v>
      </c>
      <c r="G28" s="22" t="s">
        <v>405</v>
      </c>
      <c r="H28" s="23" t="s">
        <v>406</v>
      </c>
      <c r="I28" s="21" t="s">
        <v>534</v>
      </c>
    </row>
    <row r="29" spans="1:9" ht="52.5" customHeight="1" x14ac:dyDescent="0.3">
      <c r="A29" s="21" t="s">
        <v>37</v>
      </c>
      <c r="B29" s="21" t="s">
        <v>535</v>
      </c>
      <c r="C29" s="21" t="s">
        <v>536</v>
      </c>
      <c r="D29" s="21" t="s">
        <v>537</v>
      </c>
      <c r="E29" s="21" t="s">
        <v>411</v>
      </c>
      <c r="F29" s="21" t="s">
        <v>538</v>
      </c>
      <c r="G29" s="26" t="s">
        <v>500</v>
      </c>
      <c r="H29" s="23" t="s">
        <v>501</v>
      </c>
      <c r="I29" s="21" t="s">
        <v>539</v>
      </c>
    </row>
    <row r="30" spans="1:9" ht="52.5" customHeight="1" x14ac:dyDescent="0.3">
      <c r="A30" s="24" t="s">
        <v>38</v>
      </c>
      <c r="B30" s="24" t="s">
        <v>540</v>
      </c>
      <c r="C30" s="24" t="s">
        <v>541</v>
      </c>
      <c r="D30" s="24" t="s">
        <v>542</v>
      </c>
      <c r="E30" s="24" t="s">
        <v>411</v>
      </c>
      <c r="F30" s="24" t="s">
        <v>543</v>
      </c>
      <c r="G30" s="22" t="s">
        <v>405</v>
      </c>
      <c r="H30" s="23" t="s">
        <v>413</v>
      </c>
      <c r="I30" s="21" t="s">
        <v>544</v>
      </c>
    </row>
    <row r="31" spans="1:9" ht="78.75" customHeight="1" x14ac:dyDescent="0.3">
      <c r="A31" s="21" t="s">
        <v>39</v>
      </c>
      <c r="B31" s="21" t="s">
        <v>545</v>
      </c>
      <c r="C31" s="21" t="s">
        <v>546</v>
      </c>
      <c r="D31" s="21" t="s">
        <v>547</v>
      </c>
      <c r="E31" s="21" t="s">
        <v>411</v>
      </c>
      <c r="F31" s="21" t="s">
        <v>548</v>
      </c>
      <c r="G31" s="25" t="s">
        <v>420</v>
      </c>
      <c r="H31" s="23" t="s">
        <v>421</v>
      </c>
      <c r="I31" s="21" t="s">
        <v>549</v>
      </c>
    </row>
    <row r="32" spans="1:9" ht="52.5" customHeight="1" x14ac:dyDescent="0.3">
      <c r="A32" s="24" t="s">
        <v>40</v>
      </c>
      <c r="B32" s="24" t="s">
        <v>550</v>
      </c>
      <c r="C32" s="24" t="s">
        <v>551</v>
      </c>
      <c r="D32" s="24" t="s">
        <v>552</v>
      </c>
      <c r="E32" s="24" t="s">
        <v>411</v>
      </c>
      <c r="F32" s="24" t="s">
        <v>553</v>
      </c>
      <c r="G32" s="26" t="s">
        <v>500</v>
      </c>
      <c r="H32" s="23" t="s">
        <v>501</v>
      </c>
      <c r="I32" s="21" t="s">
        <v>554</v>
      </c>
    </row>
    <row r="33" spans="1:9" ht="66" customHeight="1" x14ac:dyDescent="0.3">
      <c r="A33" s="21" t="s">
        <v>41</v>
      </c>
      <c r="B33" s="21" t="s">
        <v>555</v>
      </c>
      <c r="C33" s="21" t="s">
        <v>556</v>
      </c>
      <c r="D33" s="21" t="s">
        <v>557</v>
      </c>
      <c r="E33" s="21" t="s">
        <v>558</v>
      </c>
      <c r="F33" s="21" t="s">
        <v>559</v>
      </c>
      <c r="G33" s="22" t="s">
        <v>405</v>
      </c>
      <c r="H33" s="23" t="s">
        <v>406</v>
      </c>
      <c r="I33" s="21" t="s">
        <v>560</v>
      </c>
    </row>
    <row r="34" spans="1:9" ht="66" customHeight="1" x14ac:dyDescent="0.3">
      <c r="A34" s="24" t="s">
        <v>42</v>
      </c>
      <c r="B34" s="24" t="s">
        <v>561</v>
      </c>
      <c r="C34" s="24" t="s">
        <v>562</v>
      </c>
      <c r="D34" s="24" t="s">
        <v>563</v>
      </c>
      <c r="E34" s="24" t="s">
        <v>564</v>
      </c>
      <c r="F34" s="24" t="s">
        <v>565</v>
      </c>
      <c r="G34" s="25" t="s">
        <v>420</v>
      </c>
      <c r="H34" s="23" t="s">
        <v>421</v>
      </c>
      <c r="I34" s="21" t="s">
        <v>566</v>
      </c>
    </row>
    <row r="35" spans="1:9" ht="52.5" customHeight="1" x14ac:dyDescent="0.3">
      <c r="A35" s="21" t="s">
        <v>43</v>
      </c>
      <c r="B35" s="21" t="s">
        <v>567</v>
      </c>
      <c r="C35" s="21" t="s">
        <v>568</v>
      </c>
      <c r="D35" s="21" t="s">
        <v>569</v>
      </c>
      <c r="E35" s="21" t="s">
        <v>570</v>
      </c>
      <c r="F35" s="21" t="s">
        <v>571</v>
      </c>
      <c r="G35" s="25" t="s">
        <v>420</v>
      </c>
      <c r="H35" s="23" t="s">
        <v>527</v>
      </c>
      <c r="I35" s="21" t="s">
        <v>572</v>
      </c>
    </row>
    <row r="36" spans="1:9" ht="52.5" customHeight="1" x14ac:dyDescent="0.3">
      <c r="A36" s="24" t="s">
        <v>44</v>
      </c>
      <c r="B36" s="24" t="s">
        <v>573</v>
      </c>
      <c r="C36" s="24" t="s">
        <v>574</v>
      </c>
      <c r="D36" s="24" t="s">
        <v>575</v>
      </c>
      <c r="E36" s="24" t="s">
        <v>411</v>
      </c>
      <c r="F36" s="24" t="s">
        <v>576</v>
      </c>
      <c r="G36" s="22" t="s">
        <v>405</v>
      </c>
      <c r="H36" s="23" t="s">
        <v>406</v>
      </c>
      <c r="I36" s="21" t="s">
        <v>577</v>
      </c>
    </row>
    <row r="37" spans="1:9" ht="52.5" customHeight="1" x14ac:dyDescent="0.3">
      <c r="A37" s="21" t="s">
        <v>45</v>
      </c>
      <c r="B37" s="21" t="s">
        <v>578</v>
      </c>
      <c r="C37" s="21" t="s">
        <v>579</v>
      </c>
      <c r="D37" s="21" t="s">
        <v>580</v>
      </c>
      <c r="E37" s="21" t="s">
        <v>570</v>
      </c>
      <c r="F37" s="21" t="s">
        <v>581</v>
      </c>
      <c r="G37" s="25" t="s">
        <v>420</v>
      </c>
      <c r="H37" s="23" t="s">
        <v>527</v>
      </c>
      <c r="I37" s="21" t="s">
        <v>582</v>
      </c>
    </row>
    <row r="38" spans="1:9" ht="39" customHeight="1" x14ac:dyDescent="0.3">
      <c r="A38" s="24" t="s">
        <v>46</v>
      </c>
      <c r="B38" s="24" t="s">
        <v>583</v>
      </c>
      <c r="C38" s="24" t="s">
        <v>584</v>
      </c>
      <c r="D38" s="24" t="s">
        <v>552</v>
      </c>
      <c r="E38" s="24" t="s">
        <v>411</v>
      </c>
      <c r="F38" s="24" t="s">
        <v>585</v>
      </c>
      <c r="G38" s="25" t="s">
        <v>420</v>
      </c>
      <c r="H38" s="23" t="s">
        <v>527</v>
      </c>
      <c r="I38" s="21" t="s">
        <v>586</v>
      </c>
    </row>
    <row r="39" spans="1:9" ht="66" customHeight="1" x14ac:dyDescent="0.3">
      <c r="A39" s="21" t="s">
        <v>47</v>
      </c>
      <c r="B39" s="21" t="s">
        <v>587</v>
      </c>
      <c r="C39" s="21" t="s">
        <v>588</v>
      </c>
      <c r="D39" s="21" t="s">
        <v>589</v>
      </c>
      <c r="E39" s="21" t="s">
        <v>564</v>
      </c>
      <c r="F39" s="21" t="s">
        <v>590</v>
      </c>
      <c r="G39" s="25" t="s">
        <v>420</v>
      </c>
      <c r="H39" s="23" t="s">
        <v>421</v>
      </c>
      <c r="I39" s="21" t="s">
        <v>591</v>
      </c>
    </row>
    <row r="40" spans="1:9" ht="52.5" customHeight="1" x14ac:dyDescent="0.3">
      <c r="A40" s="24" t="s">
        <v>48</v>
      </c>
      <c r="B40" s="24" t="s">
        <v>592</v>
      </c>
      <c r="C40" s="24" t="s">
        <v>593</v>
      </c>
      <c r="D40" s="24" t="s">
        <v>594</v>
      </c>
      <c r="E40" s="24" t="s">
        <v>411</v>
      </c>
      <c r="F40" s="24" t="s">
        <v>595</v>
      </c>
      <c r="G40" s="22" t="s">
        <v>405</v>
      </c>
      <c r="H40" s="23" t="s">
        <v>406</v>
      </c>
      <c r="I40" s="21" t="s">
        <v>596</v>
      </c>
    </row>
    <row r="41" spans="1:9" ht="92.25" customHeight="1" x14ac:dyDescent="0.3">
      <c r="A41" s="27" t="s">
        <v>49</v>
      </c>
      <c r="B41" s="27" t="s">
        <v>597</v>
      </c>
      <c r="C41" s="27" t="s">
        <v>598</v>
      </c>
      <c r="D41" s="27" t="s">
        <v>599</v>
      </c>
      <c r="E41" s="27" t="s">
        <v>600</v>
      </c>
      <c r="F41" s="27" t="s">
        <v>601</v>
      </c>
      <c r="G41" s="25" t="s">
        <v>420</v>
      </c>
      <c r="H41" s="23" t="s">
        <v>527</v>
      </c>
      <c r="I41" s="21" t="s">
        <v>602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45" customWidth="1"/>
    <col min="2" max="2" width="43" customWidth="1"/>
    <col min="3" max="3" width="30" customWidth="1"/>
    <col min="4" max="4" width="42" customWidth="1"/>
    <col min="5" max="5" width="41" customWidth="1"/>
    <col min="6" max="6" width="49" customWidth="1"/>
  </cols>
  <sheetData>
    <row r="1" spans="1:6" ht="19.5" customHeight="1" x14ac:dyDescent="0.4">
      <c r="A1" s="1" t="s">
        <v>603</v>
      </c>
    </row>
    <row r="2" spans="1:6" ht="15" customHeight="1" x14ac:dyDescent="0.3">
      <c r="A2" s="2" t="s">
        <v>604</v>
      </c>
    </row>
    <row r="4" spans="1:6" ht="15" customHeight="1" x14ac:dyDescent="0.3">
      <c r="A4" s="3" t="s">
        <v>605</v>
      </c>
      <c r="B4" s="3" t="s">
        <v>606</v>
      </c>
      <c r="C4" s="3" t="s">
        <v>607</v>
      </c>
      <c r="D4" s="3" t="s">
        <v>608</v>
      </c>
      <c r="E4" s="3" t="s">
        <v>609</v>
      </c>
      <c r="F4" s="3" t="s">
        <v>610</v>
      </c>
    </row>
    <row r="5" spans="1:6" ht="15" customHeight="1" x14ac:dyDescent="0.3">
      <c r="A5" s="4" t="s">
        <v>611</v>
      </c>
      <c r="B5" s="4" t="s">
        <v>612</v>
      </c>
      <c r="C5" s="28">
        <v>20050</v>
      </c>
      <c r="D5" s="29" t="s">
        <v>613</v>
      </c>
      <c r="E5" s="7" t="s">
        <v>614</v>
      </c>
      <c r="F5" s="29" t="s">
        <v>615</v>
      </c>
    </row>
    <row r="6" spans="1:6" ht="15" customHeight="1" x14ac:dyDescent="0.3">
      <c r="A6" s="8" t="s">
        <v>611</v>
      </c>
      <c r="B6" s="8" t="s">
        <v>616</v>
      </c>
      <c r="C6" s="28">
        <v>9407</v>
      </c>
      <c r="D6" s="30" t="s">
        <v>617</v>
      </c>
      <c r="E6" s="9" t="s">
        <v>614</v>
      </c>
      <c r="F6" s="30" t="s">
        <v>618</v>
      </c>
    </row>
    <row r="7" spans="1:6" ht="15" customHeight="1" x14ac:dyDescent="0.3">
      <c r="A7" s="4" t="s">
        <v>611</v>
      </c>
      <c r="B7" s="4" t="s">
        <v>619</v>
      </c>
      <c r="C7" s="28">
        <v>4880</v>
      </c>
      <c r="D7" s="29" t="s">
        <v>620</v>
      </c>
      <c r="E7" s="7" t="s">
        <v>614</v>
      </c>
      <c r="F7" s="29" t="s">
        <v>621</v>
      </c>
    </row>
    <row r="8" spans="1:6" ht="15" customHeight="1" x14ac:dyDescent="0.3">
      <c r="A8" s="8" t="s">
        <v>611</v>
      </c>
      <c r="B8" s="8" t="s">
        <v>622</v>
      </c>
      <c r="C8" s="28">
        <v>5763</v>
      </c>
      <c r="D8" s="30" t="s">
        <v>623</v>
      </c>
      <c r="E8" s="9" t="s">
        <v>614</v>
      </c>
      <c r="F8" s="30" t="s">
        <v>624</v>
      </c>
    </row>
    <row r="9" spans="1:6" ht="15" customHeight="1" x14ac:dyDescent="0.3">
      <c r="A9" s="4" t="s">
        <v>625</v>
      </c>
      <c r="B9" s="4" t="s">
        <v>626</v>
      </c>
      <c r="C9" s="28">
        <v>682.6</v>
      </c>
      <c r="D9" s="29" t="s">
        <v>627</v>
      </c>
      <c r="E9" s="7" t="s">
        <v>628</v>
      </c>
      <c r="F9" s="29" t="s">
        <v>629</v>
      </c>
    </row>
    <row r="10" spans="1:6" ht="15" customHeight="1" x14ac:dyDescent="0.3">
      <c r="A10" s="8" t="s">
        <v>630</v>
      </c>
      <c r="B10" s="8" t="s">
        <v>631</v>
      </c>
      <c r="C10" s="28">
        <v>544</v>
      </c>
      <c r="D10" s="30" t="s">
        <v>632</v>
      </c>
      <c r="E10" s="9" t="s">
        <v>633</v>
      </c>
      <c r="F10" s="30" t="s">
        <v>634</v>
      </c>
    </row>
    <row r="11" spans="1:6" ht="15" customHeight="1" x14ac:dyDescent="0.3">
      <c r="A11" s="4" t="s">
        <v>630</v>
      </c>
      <c r="B11" s="4" t="s">
        <v>635</v>
      </c>
      <c r="C11" s="28">
        <v>1681.21</v>
      </c>
      <c r="D11" s="29" t="s">
        <v>636</v>
      </c>
      <c r="E11" s="7" t="s">
        <v>633</v>
      </c>
      <c r="F11" s="29" t="s">
        <v>637</v>
      </c>
    </row>
    <row r="12" spans="1:6" ht="15" customHeight="1" x14ac:dyDescent="0.3">
      <c r="A12" s="8" t="s">
        <v>638</v>
      </c>
      <c r="B12" s="8" t="s">
        <v>639</v>
      </c>
      <c r="C12" s="28">
        <v>364</v>
      </c>
      <c r="D12" s="30" t="s">
        <v>640</v>
      </c>
      <c r="E12" s="9" t="s">
        <v>628</v>
      </c>
      <c r="F12" s="30" t="s">
        <v>641</v>
      </c>
    </row>
    <row r="13" spans="1:6" ht="15" customHeight="1" x14ac:dyDescent="0.3">
      <c r="A13" s="4" t="s">
        <v>642</v>
      </c>
      <c r="B13" s="4" t="s">
        <v>643</v>
      </c>
      <c r="C13" s="28">
        <v>902.97</v>
      </c>
      <c r="D13" s="29" t="s">
        <v>644</v>
      </c>
      <c r="E13" s="7" t="s">
        <v>645</v>
      </c>
      <c r="F13" s="29" t="s">
        <v>646</v>
      </c>
    </row>
    <row r="14" spans="1:6" ht="15" customHeight="1" x14ac:dyDescent="0.3">
      <c r="A14" s="8" t="s">
        <v>642</v>
      </c>
      <c r="B14" s="8" t="s">
        <v>647</v>
      </c>
      <c r="C14" s="28">
        <v>523.29999999999995</v>
      </c>
      <c r="D14" s="30" t="s">
        <v>648</v>
      </c>
      <c r="E14" s="9" t="s">
        <v>645</v>
      </c>
      <c r="F14" s="30" t="s">
        <v>649</v>
      </c>
    </row>
    <row r="15" spans="1:6" ht="15" customHeight="1" x14ac:dyDescent="0.3">
      <c r="A15" s="4" t="s">
        <v>650</v>
      </c>
      <c r="B15" s="4" t="s">
        <v>651</v>
      </c>
      <c r="C15" s="28">
        <v>58.78</v>
      </c>
      <c r="D15" s="29" t="s">
        <v>652</v>
      </c>
      <c r="E15" s="7" t="s">
        <v>653</v>
      </c>
      <c r="F15" s="29" t="s">
        <v>654</v>
      </c>
    </row>
    <row r="16" spans="1:6" ht="15" customHeight="1" x14ac:dyDescent="0.3">
      <c r="A16" s="8" t="s">
        <v>650</v>
      </c>
      <c r="B16" s="8" t="s">
        <v>655</v>
      </c>
      <c r="C16" s="28">
        <v>243.82</v>
      </c>
      <c r="D16" s="30" t="s">
        <v>656</v>
      </c>
      <c r="E16" s="9" t="s">
        <v>653</v>
      </c>
      <c r="F16" s="30" t="s">
        <v>657</v>
      </c>
    </row>
    <row r="17" spans="1:6" ht="15" customHeight="1" x14ac:dyDescent="0.3">
      <c r="A17" s="4" t="s">
        <v>650</v>
      </c>
      <c r="B17" s="4" t="s">
        <v>658</v>
      </c>
      <c r="C17" s="28">
        <v>37.81</v>
      </c>
      <c r="D17" s="29" t="s">
        <v>659</v>
      </c>
      <c r="E17" s="7" t="s">
        <v>653</v>
      </c>
      <c r="F17" s="29" t="s">
        <v>660</v>
      </c>
    </row>
    <row r="18" spans="1:6" ht="15" customHeight="1" x14ac:dyDescent="0.3">
      <c r="A18" s="8" t="s">
        <v>650</v>
      </c>
      <c r="B18" s="8" t="s">
        <v>661</v>
      </c>
      <c r="C18" s="28">
        <v>515.96</v>
      </c>
      <c r="D18" s="30" t="s">
        <v>662</v>
      </c>
      <c r="E18" s="9" t="s">
        <v>653</v>
      </c>
      <c r="F18" s="30" t="s">
        <v>663</v>
      </c>
    </row>
    <row r="19" spans="1:6" ht="15" customHeight="1" x14ac:dyDescent="0.3">
      <c r="A19" s="4" t="s">
        <v>650</v>
      </c>
      <c r="B19" s="4" t="s">
        <v>664</v>
      </c>
      <c r="C19" s="28">
        <v>114.67</v>
      </c>
      <c r="D19" s="29" t="s">
        <v>665</v>
      </c>
      <c r="E19" s="7" t="s">
        <v>653</v>
      </c>
      <c r="F19" s="29" t="s">
        <v>666</v>
      </c>
    </row>
    <row r="20" spans="1:6" ht="15" customHeight="1" x14ac:dyDescent="0.3">
      <c r="A20" s="8" t="s">
        <v>650</v>
      </c>
      <c r="B20" s="8" t="s">
        <v>667</v>
      </c>
      <c r="C20" s="28">
        <v>53.77</v>
      </c>
      <c r="D20" s="30" t="s">
        <v>668</v>
      </c>
      <c r="E20" s="9" t="s">
        <v>653</v>
      </c>
      <c r="F20" s="30" t="s">
        <v>669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 Resource Base</vt:lpstr>
      <vt:lpstr>Resource Utilization Trend</vt:lpstr>
      <vt:lpstr>Sustainability Risk</vt:lpstr>
      <vt:lpstr>Future Potential &amp; Practices</vt:lpstr>
      <vt:lpstr>Institutions &amp; 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Aniruddha Shedge</cp:lastModifiedBy>
  <cp:revision>0</cp:revision>
  <dcterms:created xsi:type="dcterms:W3CDTF">2026-08-28T08:34:26Z</dcterms:created>
  <dcterms:modified xsi:type="dcterms:W3CDTF">2026-09-13T13:58:52Z</dcterms:modified>
  <dc:language>en-US</dc:language>
</cp:coreProperties>
</file>